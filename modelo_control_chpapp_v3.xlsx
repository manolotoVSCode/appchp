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manoloto/Apps/CHPapp/"/>
    </mc:Choice>
  </mc:AlternateContent>
  <xr:revisionPtr revIDLastSave="0" documentId="8_{42B977A3-3AF0-6941-852A-7175EDC72576}" xr6:coauthVersionLast="47" xr6:coauthVersionMax="47" xr10:uidLastSave="{00000000-0000-0000-0000-000000000000}"/>
  <bookViews>
    <workbookView xWindow="10140" yWindow="660" windowWidth="28100" windowHeight="23180" tabRatio="500" firstSheet="5" activeTab="11" xr2:uid="{00000000-000D-0000-FFFF-FFFF00000000}"/>
  </bookViews>
  <sheets>
    <sheet name="1. Inputs" sheetId="1" r:id="rId1"/>
    <sheet name="2. Factura CFE sep24" sheetId="2" r:id="rId2"/>
    <sheet name="3. Factura PPA sep24" sheetId="3" r:id="rId3"/>
    <sheet name="4. Factura Gas sep24" sheetId="4" r:id="rId4"/>
    <sheet name="5. Parametros cliente" sheetId="5" r:id="rId5"/>
    <sheet name="6. Dashboard Contab CFE" sheetId="6" r:id="rId6"/>
    <sheet name="7. Dashboard Contab PPA" sheetId="7" r:id="rId7"/>
    <sheet name="8. Dashboard Cogen CFE" sheetId="8" r:id="rId8"/>
    <sheet name="9. Dashboard Cogen PPA" sheetId="9" r:id="rId9"/>
    <sheet name="10. Validacion" sheetId="10" r:id="rId10"/>
    <sheet name="11. KPI's control CFE" sheetId="11" r:id="rId11"/>
    <sheet name="12. KPI's control PPA"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 i="12" l="1"/>
  <c r="C17" i="12"/>
  <c r="C16" i="12"/>
  <c r="C15" i="12"/>
  <c r="C14" i="12"/>
  <c r="C13" i="12"/>
  <c r="C12" i="12"/>
  <c r="C11" i="12"/>
  <c r="C10" i="12"/>
  <c r="C9" i="12"/>
  <c r="C8" i="12"/>
  <c r="C7" i="12"/>
  <c r="C6" i="12"/>
  <c r="C5" i="12"/>
  <c r="C4" i="12"/>
  <c r="B18" i="12"/>
  <c r="B17" i="12"/>
  <c r="B16" i="12"/>
  <c r="B15" i="12"/>
  <c r="B14" i="12"/>
  <c r="B11" i="12"/>
  <c r="B10" i="12"/>
  <c r="B7" i="12"/>
  <c r="B6" i="12"/>
  <c r="B5" i="12"/>
  <c r="B4" i="12"/>
  <c r="C14" i="11"/>
  <c r="C15" i="11"/>
  <c r="C16" i="11"/>
  <c r="C17" i="11"/>
  <c r="C18" i="11"/>
  <c r="B18" i="11"/>
  <c r="B17" i="11"/>
  <c r="B16" i="11"/>
  <c r="B15" i="11"/>
  <c r="B14" i="11"/>
  <c r="C13" i="11"/>
  <c r="C12" i="11"/>
  <c r="C11" i="11"/>
  <c r="C10" i="11"/>
  <c r="C9" i="11"/>
  <c r="C8" i="11"/>
  <c r="B11" i="11"/>
  <c r="B10" i="11"/>
  <c r="C7" i="11"/>
  <c r="B7" i="11"/>
  <c r="C5" i="11"/>
  <c r="C6" i="11"/>
  <c r="C4" i="11"/>
  <c r="B6" i="11"/>
  <c r="B5" i="11"/>
  <c r="B4" i="11"/>
  <c r="C42" i="10"/>
  <c r="D43" i="10" s="1"/>
  <c r="D41" i="10"/>
  <c r="D40" i="10"/>
  <c r="D15" i="10"/>
  <c r="D14" i="10"/>
  <c r="D13" i="10"/>
  <c r="D12" i="10"/>
  <c r="C16" i="9"/>
  <c r="C17" i="9" s="1"/>
  <c r="C11" i="9"/>
  <c r="C8" i="9"/>
  <c r="C7" i="9"/>
  <c r="C6" i="9"/>
  <c r="C5" i="9"/>
  <c r="C7" i="8"/>
  <c r="C6" i="8"/>
  <c r="C5" i="8"/>
  <c r="C4" i="8"/>
  <c r="C20" i="7"/>
  <c r="C17" i="7"/>
  <c r="C14" i="7"/>
  <c r="C13" i="7"/>
  <c r="C12" i="7"/>
  <c r="C11" i="7"/>
  <c r="C8" i="7"/>
  <c r="D8" i="10" s="1"/>
  <c r="C7" i="7"/>
  <c r="D7" i="10" s="1"/>
  <c r="C6" i="7"/>
  <c r="C18" i="7" s="1"/>
  <c r="C5" i="7"/>
  <c r="D6" i="10" s="1"/>
  <c r="C36" i="6"/>
  <c r="C35" i="6"/>
  <c r="C34" i="6"/>
  <c r="C33" i="6"/>
  <c r="C32" i="6"/>
  <c r="C31" i="6"/>
  <c r="C37" i="6" s="1"/>
  <c r="C30" i="6"/>
  <c r="C21" i="6"/>
  <c r="C20" i="6"/>
  <c r="C19" i="6"/>
  <c r="C13" i="6"/>
  <c r="C12" i="6"/>
  <c r="C11" i="6"/>
  <c r="C16" i="5"/>
  <c r="C17" i="5" s="1"/>
  <c r="C15" i="5"/>
  <c r="C14" i="5"/>
  <c r="C33" i="4"/>
  <c r="C27" i="4"/>
  <c r="C43" i="10" s="1"/>
  <c r="C19" i="4"/>
  <c r="C20" i="4" s="1"/>
  <c r="C34" i="4" s="1"/>
  <c r="C35" i="3"/>
  <c r="C34" i="3"/>
  <c r="C25" i="3"/>
  <c r="C21" i="3"/>
  <c r="C22" i="3" s="1"/>
  <c r="C16" i="3"/>
  <c r="C61" i="2"/>
  <c r="C50" i="2"/>
  <c r="C26" i="6" s="1"/>
  <c r="C49" i="2"/>
  <c r="C25" i="6" s="1"/>
  <c r="C48" i="2"/>
  <c r="C24" i="6" s="1"/>
  <c r="C41" i="2"/>
  <c r="C43" i="2" s="1"/>
  <c r="C25" i="2"/>
  <c r="C56" i="2" s="1"/>
  <c r="C18" i="2"/>
  <c r="C10" i="8" s="1"/>
  <c r="C12" i="1"/>
  <c r="C84" i="8" l="1"/>
  <c r="C12" i="8"/>
  <c r="C11" i="8"/>
  <c r="C37" i="8"/>
  <c r="C57" i="2"/>
  <c r="C38" i="8" s="1"/>
  <c r="C7" i="6"/>
  <c r="C45" i="2"/>
  <c r="C59" i="8"/>
  <c r="C31" i="9"/>
  <c r="C19" i="7"/>
  <c r="C21" i="7"/>
  <c r="C22" i="7" s="1"/>
  <c r="C51" i="2"/>
  <c r="C5" i="6"/>
  <c r="C54" i="2"/>
  <c r="C60" i="2"/>
  <c r="D42" i="10"/>
  <c r="C44" i="8"/>
  <c r="C12" i="9"/>
  <c r="C13" i="9" s="1"/>
  <c r="C56" i="9"/>
  <c r="C62" i="2"/>
  <c r="C29" i="8" l="1"/>
  <c r="C55" i="2"/>
  <c r="C30" i="8" s="1"/>
  <c r="C6" i="6"/>
  <c r="C6" i="10"/>
  <c r="C15" i="6"/>
  <c r="C14" i="6"/>
  <c r="C41" i="10"/>
  <c r="C27" i="6"/>
  <c r="C16" i="6"/>
  <c r="C17" i="8"/>
  <c r="C64" i="8"/>
  <c r="C16" i="8"/>
  <c r="C86" i="8"/>
  <c r="C54" i="8"/>
  <c r="D29" i="10"/>
  <c r="C57" i="9"/>
  <c r="C70" i="9"/>
  <c r="C71" i="9" s="1"/>
  <c r="C63" i="2"/>
  <c r="C47" i="8" s="1"/>
  <c r="C8" i="6"/>
  <c r="C8" i="10" s="1"/>
  <c r="C7" i="10"/>
  <c r="C45" i="8"/>
  <c r="C46" i="8" s="1"/>
  <c r="C31" i="8"/>
  <c r="C26" i="9"/>
  <c r="C18" i="9"/>
  <c r="C36" i="9"/>
  <c r="C58" i="9"/>
  <c r="C29" i="10"/>
  <c r="C97" i="8"/>
  <c r="C98" i="8" s="1"/>
  <c r="C85" i="8"/>
  <c r="C48" i="8" l="1"/>
  <c r="C15" i="10" s="1"/>
  <c r="C87" i="8"/>
  <c r="C55" i="8"/>
  <c r="C60" i="8"/>
  <c r="C18" i="8"/>
  <c r="C24" i="8" s="1"/>
  <c r="C72" i="9"/>
  <c r="D35" i="10" s="1"/>
  <c r="D34" i="10"/>
  <c r="C39" i="8"/>
  <c r="C40" i="8" s="1"/>
  <c r="C41" i="8" s="1"/>
  <c r="C14" i="10" s="1"/>
  <c r="C32" i="8"/>
  <c r="D21" i="10"/>
  <c r="C43" i="9"/>
  <c r="C51" i="9"/>
  <c r="C34" i="10"/>
  <c r="C99" i="8"/>
  <c r="C35" i="10" s="1"/>
  <c r="D11" i="10"/>
  <c r="C39" i="9"/>
  <c r="C48" i="9"/>
  <c r="C23" i="8"/>
  <c r="C32" i="9"/>
  <c r="C59" i="9"/>
  <c r="C27" i="9"/>
  <c r="C71" i="8"/>
  <c r="C21" i="10"/>
  <c r="C79" i="8"/>
  <c r="C33" i="8"/>
  <c r="C34" i="8" s="1"/>
  <c r="C13" i="10" s="1"/>
  <c r="C70" i="8" l="1"/>
  <c r="C72" i="8" s="1"/>
  <c r="C22" i="10" s="1"/>
  <c r="C20" i="10"/>
  <c r="C78" i="8"/>
  <c r="C88" i="8"/>
  <c r="C56" i="8"/>
  <c r="C61" i="8" s="1"/>
  <c r="C60" i="9"/>
  <c r="C28" i="9"/>
  <c r="C33" i="9" s="1"/>
  <c r="C50" i="9"/>
  <c r="D20" i="10"/>
  <c r="C42" i="9"/>
  <c r="C44" i="9" s="1"/>
  <c r="D22" i="10" s="1"/>
  <c r="C19" i="8"/>
  <c r="C20" i="8" s="1"/>
  <c r="C61" i="9" l="1"/>
  <c r="C62" i="9" s="1"/>
  <c r="C63" i="9"/>
  <c r="C64" i="9" s="1"/>
  <c r="C65" i="9" s="1"/>
  <c r="C25" i="8"/>
  <c r="C26" i="8" s="1"/>
  <c r="C40" i="10"/>
  <c r="C77" i="8"/>
  <c r="C16" i="10"/>
  <c r="C68" i="8"/>
  <c r="C40" i="9"/>
  <c r="C41" i="9" s="1"/>
  <c r="C49" i="9"/>
  <c r="D16" i="10"/>
  <c r="C89" i="8"/>
  <c r="C90" i="8" s="1"/>
  <c r="C91" i="8"/>
  <c r="C92" i="8" s="1"/>
  <c r="C93" i="8" s="1"/>
  <c r="C94" i="8" l="1"/>
  <c r="C31" i="10" s="1"/>
  <c r="C30" i="10"/>
  <c r="D17" i="10"/>
  <c r="C45" i="9"/>
  <c r="C51" i="8"/>
  <c r="C12" i="10"/>
  <c r="D30" i="10"/>
  <c r="C66" i="9"/>
  <c r="D31" i="10" s="1"/>
  <c r="D25" i="10" l="1"/>
  <c r="C52" i="9"/>
  <c r="C67" i="8"/>
  <c r="C69" i="8" s="1"/>
  <c r="C11" i="10"/>
  <c r="C76" i="8"/>
  <c r="D26" i="10" l="1"/>
  <c r="C74" i="9"/>
  <c r="C73" i="9"/>
  <c r="C17" i="10"/>
  <c r="C73" i="8"/>
  <c r="D36" i="10" l="1"/>
  <c r="C75" i="9"/>
  <c r="C25" i="10"/>
  <c r="C80" i="8"/>
  <c r="C101" i="8" l="1"/>
  <c r="C100" i="8"/>
  <c r="C26" i="10"/>
  <c r="C80" i="9"/>
  <c r="D37" i="10" s="1"/>
  <c r="C76" i="9"/>
  <c r="C77" i="9" s="1"/>
  <c r="C78" i="9" s="1"/>
  <c r="C79" i="9" s="1"/>
  <c r="C36" i="10" l="1"/>
  <c r="C102" i="8"/>
  <c r="C107" i="8" l="1"/>
  <c r="C37" i="10" s="1"/>
  <c r="C103" i="8"/>
  <c r="C104" i="8" s="1"/>
  <c r="C105" i="8" s="1"/>
  <c r="C106" i="8" s="1"/>
</calcChain>
</file>

<file path=xl/sharedStrings.xml><?xml version="1.0" encoding="utf-8"?>
<sst xmlns="http://schemas.openxmlformats.org/spreadsheetml/2006/main" count="711" uniqueCount="456">
  <si>
    <t>INPUTS CONFIGURABLES - SMOKE TEST chpapp</t>
  </si>
  <si>
    <t>SLIDERS DE SENSIBILIDAD (variables principales)</t>
  </si>
  <si>
    <t>COMENTARIOS DEL USUARIO</t>
  </si>
  <si>
    <t>Cobertura eléctrica de la cogeneración</t>
  </si>
  <si>
    <t>% del consumo eléctrico que cubre la cogeneración. Default 75%.</t>
  </si>
  <si>
    <t>ok</t>
  </si>
  <si>
    <t>Rendimiento eléctrico de la cogeneración</t>
  </si>
  <si>
    <t>Eficiencia eléctrica del motor. Energía eléctrica generada / Energía del combustible (PCI). Default 40%.</t>
  </si>
  <si>
    <t>Rendimiento térmico de la cogeneración</t>
  </si>
  <si>
    <t>Eficiencia térmica recuperada de gases de escape. Default 25%.</t>
  </si>
  <si>
    <t>Eficiencia de la caldera reemplazada</t>
  </si>
  <si>
    <t>Eficiencia térmica de la caldera actual del cliente. Default 85%.</t>
  </si>
  <si>
    <t>CONVERSIONES Y FACTORES TÉCNICOS</t>
  </si>
  <si>
    <t>Conversión kWh a GJ (3.6 MJ/kWh)</t>
  </si>
  <si>
    <t>Factor de conversión. 1 kWh = 3.6 MJ = 0.0036 GJ.</t>
  </si>
  <si>
    <t>Factor PCS a PCI (conversión gas)</t>
  </si>
  <si>
    <t>Factura ENGIE viene en PCS. Para combustible térmico se usa PCI. PCS / 1.11 = PCI.</t>
  </si>
  <si>
    <t>Horas mensuales estándar para capacidad</t>
  </si>
  <si>
    <t>Horas del mes = días facturados × 24. Para septiembre (30 días) = 720 h. Para 31 días = 744 h. Para febrero (28 o 29) = 672 o 696 h.</t>
  </si>
  <si>
    <t>Resuelto: ahora apunta a días × 24 de la factura CFE.</t>
  </si>
  <si>
    <t>Factor 0.57 (cobro CFE GDMTH demanda)</t>
  </si>
  <si>
    <t>CFE GDMTH cobra capacidad/distribución sobre MIN(kw_max, demanda_promedio/0.57). Aplica techo al resultado.</t>
  </si>
  <si>
    <t>INVERSIÓN</t>
  </si>
  <si>
    <t>Costo unitario USD/kW</t>
  </si>
  <si>
    <t>Costo de instalación de cogeneración por kW de capacidad nominal.</t>
  </si>
  <si>
    <t>Tipo de cambio MXN/USD</t>
  </si>
  <si>
    <t>Tipo de cambio para convertir inversión USD a MXN.</t>
  </si>
  <si>
    <t>Tasa ISR para beneficio fiscal año 1</t>
  </si>
  <si>
    <t>Art. 34 fracción XIII LISR. Cogeneración eficiente certificada CRE permite deducción inmediata 100%. Beneficio = inversión × 30%.</t>
  </si>
  <si>
    <t>Horizonte de proyección (años)</t>
  </si>
  <si>
    <t>Años para el flujo proyectado y cálculo de payback.</t>
  </si>
  <si>
    <t>O&amp;M (operación y mantenimiento)</t>
  </si>
  <si>
    <t>Costo O&amp;M por kWh cubierto</t>
  </si>
  <si>
    <t>Operación y mantenimiento de la cogeneración. 0.30 MXN por cada kWh generado.</t>
  </si>
  <si>
    <t>PARÁMETROS DEL CLIENTE PARA CELs (CRE)</t>
  </si>
  <si>
    <t>RefH (medio térmico)</t>
  </si>
  <si>
    <t>Para gases_combustion: 0.82. Vapor o agua caliente: 0.90. (Documento CRE).</t>
  </si>
  <si>
    <t>fp (nivel tensión)</t>
  </si>
  <si>
    <t>Para 1-34 kV: 0.94. Para 69-85 kV: 0.96. Para &gt;115 kV: 0.97 (CRE).</t>
  </si>
  <si>
    <t>RefE (tramo capacidad y altitud)</t>
  </si>
  <si>
    <t>Tabla CRE. Capacidad 0.5-6 MW, altitud &gt;1500m: 0.44. (varía por tramo).</t>
  </si>
  <si>
    <t>Altitud msnm (informativa)</t>
  </si>
  <si>
    <t>Salamanca, Gto. &gt;1500m define la tabla de RefE.</t>
  </si>
  <si>
    <t>FACTURA CFE GDMTH - IBERICA TILES - SEPTIEMBRE 2024</t>
  </si>
  <si>
    <t>IDENTIFICACIÓN</t>
  </si>
  <si>
    <t>Cliente</t>
  </si>
  <si>
    <t>IBERICA TILES SAPI DE CV</t>
  </si>
  <si>
    <t>Razón social del receptor.</t>
  </si>
  <si>
    <t>RFC</t>
  </si>
  <si>
    <t>ITI170630377</t>
  </si>
  <si>
    <t>Número de servicio (RPU)</t>
  </si>
  <si>
    <t>052231189271</t>
  </si>
  <si>
    <t>Tarifa</t>
  </si>
  <si>
    <t>GDMTH</t>
  </si>
  <si>
    <t>Multiplicador</t>
  </si>
  <si>
    <t>Multiplicador del medidor.</t>
  </si>
  <si>
    <t>Periodo facturado</t>
  </si>
  <si>
    <t>31 AGO 24 - 30 SEP 24</t>
  </si>
  <si>
    <t>Días facturados</t>
  </si>
  <si>
    <t>Carga conectada (kW)</t>
  </si>
  <si>
    <t>Demanda contratada (kW)</t>
  </si>
  <si>
    <t>CONSUMO POR HORARIO (kWh)</t>
  </si>
  <si>
    <t>kWh Base</t>
  </si>
  <si>
    <t>kWh Intermedia</t>
  </si>
  <si>
    <t>kWh Punta</t>
  </si>
  <si>
    <t>Total kWh</t>
  </si>
  <si>
    <t>Suma de los tres horarios.</t>
  </si>
  <si>
    <t>DEMANDAS POR HORARIO (kW)</t>
  </si>
  <si>
    <t>kW Base</t>
  </si>
  <si>
    <t>kW Intermedia</t>
  </si>
  <si>
    <t>kW Punta</t>
  </si>
  <si>
    <t>kW Max</t>
  </si>
  <si>
    <t>Máxima demanda en cualquier horario. Para GDMTH septiembre = 3,444 kW.</t>
  </si>
  <si>
    <t>Demanda promedio actual / 0.57</t>
  </si>
  <si>
    <t>Total kWh / (720 × 0.57) redondeado al entero superior. Aplica techo (CEILING).</t>
  </si>
  <si>
    <t>Confirmar que en esta fórmula, 720 aplica porque es el número de horas del mes (septiembre). Si fuera un mes de 31 días, tendría que ser 744. Si fuera Febrero, tendrían que ser las horas correspondientes a un mes de 28 o 29 días, según corresponda.</t>
  </si>
  <si>
    <t>FACTOR POTENCIA</t>
  </si>
  <si>
    <t>kVArh</t>
  </si>
  <si>
    <t>Factor potencia %</t>
  </si>
  <si>
    <t>COSTOS POR COMPONENTE MEM (MXN, pre-IVA)</t>
  </si>
  <si>
    <t>Suministro (cargo fijo)</t>
  </si>
  <si>
    <t>Distribución (cargo demanda)</t>
  </si>
  <si>
    <t>Cargo demanda CFE. Se cobra sobre MIN(kw_max, demanda_promedio/0.57).</t>
  </si>
  <si>
    <t>Transmisión</t>
  </si>
  <si>
    <t>CENACE</t>
  </si>
  <si>
    <t>Generación B</t>
  </si>
  <si>
    <t>Generación I</t>
  </si>
  <si>
    <t>Generación P</t>
  </si>
  <si>
    <t>Capacidad (cargo demanda)</t>
  </si>
  <si>
    <t>Cargo demanda CFE. Se cobra sobre MIN(kw_max_punta, demanda_promedio/0.57).</t>
  </si>
  <si>
    <t>SCnMEM (servicios NO MEM)</t>
  </si>
  <si>
    <t>Total componentes (suma sub-cargos)</t>
  </si>
  <si>
    <t>Bonificación Factor de Potencia</t>
  </si>
  <si>
    <t>Bonificación si FP &gt; 90%, penalización si FP &lt; 90%. Aquí bonificación (negativa = a favor cliente).</t>
  </si>
  <si>
    <t>Subtotal (pre-IVA)</t>
  </si>
  <si>
    <t>IVA 16%</t>
  </si>
  <si>
    <t>Total con IVA</t>
  </si>
  <si>
    <t>Total facturado del periodo (sin DAP ni adeudos previos).</t>
  </si>
  <si>
    <t>PRECIOS DERIVADOS POR HORARIO ($/kWh)</t>
  </si>
  <si>
    <t>Precio $/kWh Base</t>
  </si>
  <si>
    <t>Costo Generación B dividido entre kWh Base. Es el costo unitario CFE de energía base.</t>
  </si>
  <si>
    <t>Precio $/kWh Intermedia</t>
  </si>
  <si>
    <t>Costo Generación I dividido entre kWh Intermedia. Es el costo unitario CFE de energía intermedia.</t>
  </si>
  <si>
    <t>Precio $/kWh Punta</t>
  </si>
  <si>
    <t>Costo Generación P dividido entre kWh Punta. Es el costo unitario CFE de energía punta.</t>
  </si>
  <si>
    <t>Precio promedio $/kWh</t>
  </si>
  <si>
    <t>PRECIOS DERIVADOS POR CAPACIDAD Y DISTRIBUCIÓN</t>
  </si>
  <si>
    <t>kW facturado para Capacidad</t>
  </si>
  <si>
    <t>Capacidad CFE cobra sobre MIN(kw_max_punta, demanda_promedio_actual/0.57 redondeada arriba).</t>
  </si>
  <si>
    <t>Precio Capacidad ($/kW)</t>
  </si>
  <si>
    <t>Cargo Capacidad / kW facturado para Capacidad.</t>
  </si>
  <si>
    <t>kW facturado para Distribución</t>
  </si>
  <si>
    <t>Distribución CFE cobra sobre MIN(kw_max, demanda_promedio_actual/0.57 redondeada arriba).</t>
  </si>
  <si>
    <t>Precio Distribución ($/kW)</t>
  </si>
  <si>
    <t>Cargo Distribución / kW facturado para Distribución</t>
  </si>
  <si>
    <t>PRECIOS DERIVADOS POR OTROS SERVICIOS ($/kWh)</t>
  </si>
  <si>
    <t>Se incluye el análisis de estos costos porque será importante a la hora de calcular el ahorro eléctrico con la cogeneración, ya que no se reducirá los costos sociados a Generación B, I y P, sino que también se reducirán estos costos por reducirse el consumo de energía de red (si la cogeneración cubre un 75%, estos costos se reducirán tamvién en un 75% ya que Transmisión, CENACE y SCnMEM aplican sobre el consumo eléctrico total del periodo, en kWh)</t>
  </si>
  <si>
    <t>Precio Transmisión $/kWh</t>
  </si>
  <si>
    <t>Precio CENACE $/kWh</t>
  </si>
  <si>
    <t>Precio SCnMEM $/kWh</t>
  </si>
  <si>
    <t>Total Otros Servicios</t>
  </si>
  <si>
    <t>FACTURA PPA - IBERICA TILES - SEPTIEMBRE 2024 (GIN)</t>
  </si>
  <si>
    <t>Suministrador</t>
  </si>
  <si>
    <t>GENERACION INDUSTRIAL</t>
  </si>
  <si>
    <t>RFC suministrador</t>
  </si>
  <si>
    <t>GIN040707G89</t>
  </si>
  <si>
    <t>Cliente (receptor)</t>
  </si>
  <si>
    <t>IBERICA TILES</t>
  </si>
  <si>
    <t>RFC receptor</t>
  </si>
  <si>
    <t>Serie - Folio</t>
  </si>
  <si>
    <t>GI01 01312</t>
  </si>
  <si>
    <t>RPU (centro de carga)</t>
  </si>
  <si>
    <t>52200951158</t>
  </si>
  <si>
    <t>01 al 30 de septiembre 2024</t>
  </si>
  <si>
    <t>Fecha factura</t>
  </si>
  <si>
    <t>09/10/2024</t>
  </si>
  <si>
    <t>CONSUMO Y PRECIO</t>
  </si>
  <si>
    <t>Consumo (kWh)</t>
  </si>
  <si>
    <t>Cantidad facturada por el suministrador. NO viene desglosada por horario.</t>
  </si>
  <si>
    <t>Consumo (MWh)</t>
  </si>
  <si>
    <t>Precio unitario MXN/kWh</t>
  </si>
  <si>
    <t>Precio combinado (energía + cargos CENACE). NO se desglosa en la factura.</t>
  </si>
  <si>
    <t>TOTALES</t>
  </si>
  <si>
    <t>Subtotal MXN (pre-IVA)</t>
  </si>
  <si>
    <t>Verificación subtotal = kWh × precio</t>
  </si>
  <si>
    <t>Verificación: cantidad × precio unitario debe igualar subtotal (tolerancia redondeo).</t>
  </si>
  <si>
    <t>Diferencia (tolerancia esperada &lt; $5)</t>
  </si>
  <si>
    <t>Verificación total = subtotal × 1.16</t>
  </si>
  <si>
    <t>DATOS DEL CONTRATO PPA (ficha del cliente)</t>
  </si>
  <si>
    <t>Precio fijo inicial USD/MWh</t>
  </si>
  <si>
    <t>Del contrato base. Se actualiza por INPC en cada aniversario.</t>
  </si>
  <si>
    <t>Fecha inicio suministro</t>
  </si>
  <si>
    <t>01/05/2024</t>
  </si>
  <si>
    <t>Energía contratada anual (MWh)</t>
  </si>
  <si>
    <t>Capacidad máxima (kW)</t>
  </si>
  <si>
    <t>División CENACE</t>
  </si>
  <si>
    <t>Bajío</t>
  </si>
  <si>
    <t>Bloque contratado sep-24 (MWh)</t>
  </si>
  <si>
    <t>Bloque contratado para septiembre 2024 según contrato. Para detectar excedentes.</t>
  </si>
  <si>
    <t>Banda de tolerancia (110%)</t>
  </si>
  <si>
    <t>Umbral hasta el cual el precio fijo aplica. Excedentes se cobran a precio mercado CENACE.</t>
  </si>
  <si>
    <t>¿Excedente detectado?</t>
  </si>
  <si>
    <t>Si consumo &gt; 110% del bloque, hay excedente sobre precio mercado.</t>
  </si>
  <si>
    <t>FACTURA GAS NATURAL - IBERICA TILES - SEPTIEMBRE 2024 (ENGIE)</t>
  </si>
  <si>
    <t>GDF SUEZ MEXICO COMERCIALIZADORA (ENGIE)</t>
  </si>
  <si>
    <t>TRA0002119W1</t>
  </si>
  <si>
    <t>Número de cliente</t>
  </si>
  <si>
    <t>610002800</t>
  </si>
  <si>
    <t>Cuenta contrato</t>
  </si>
  <si>
    <t>5100096634</t>
  </si>
  <si>
    <t>Folio</t>
  </si>
  <si>
    <t>I00000607</t>
  </si>
  <si>
    <t>01.09.2024 al 30.09.2024</t>
  </si>
  <si>
    <t>Tipo servicio</t>
  </si>
  <si>
    <t>Comercialización Gas - Guadalajara</t>
  </si>
  <si>
    <t>Punto suministro</t>
  </si>
  <si>
    <t>11067</t>
  </si>
  <si>
    <t>CONSUMO Y PODER CALORÍFICO</t>
  </si>
  <si>
    <t>Consumo m3 corregidos</t>
  </si>
  <si>
    <t>Poder calorífico (GJ/m³)</t>
  </si>
  <si>
    <t>PCS (poder calorífico superior). Para combustible se usa PCI = PCS / 1.11.</t>
  </si>
  <si>
    <t>Total GJ (PCS)</t>
  </si>
  <si>
    <t>Total GJ (PCI) - aplicable a cogeneración</t>
  </si>
  <si>
    <t>GJ PCI = GJ PCS / 1.11. Es el contenido energético neto del combustible.</t>
  </si>
  <si>
    <t>CARGOS Y PRECIOS (MXN, pre-IVA)</t>
  </si>
  <si>
    <t>Transporte por ducto</t>
  </si>
  <si>
    <t>78102101 - Transporte por ducto.</t>
  </si>
  <si>
    <t>Precio unitario transporte ($/GJ)</t>
  </si>
  <si>
    <t>Compraventa de gas</t>
  </si>
  <si>
    <t>83101601 - Compraventa de gas natural.</t>
  </si>
  <si>
    <t>Precio unitario gas ($/GJ)</t>
  </si>
  <si>
    <t>Verificación subtotal</t>
  </si>
  <si>
    <t>PRECIO PROMEDIO DEL GAS</t>
  </si>
  <si>
    <t>Precio promedio ($/GJ PCS)</t>
  </si>
  <si>
    <t>Subtotal / GJ totales (en PCS). Costo total del gas por GJ entregado.</t>
  </si>
  <si>
    <t>Precio promedio ($/GJ PCI)</t>
  </si>
  <si>
    <t>Subtotal / GJ PCI. Costo del combustible energético neto. Para cogeneración usar este.</t>
  </si>
  <si>
    <t>PARÁMETROS DEL CLIENTE - IBERICA TILES</t>
  </si>
  <si>
    <t>Ubicación</t>
  </si>
  <si>
    <t>Salamanca, Guanajuato</t>
  </si>
  <si>
    <t>PARÁMETROS REGULATORIOS PARA CÁLCULO DE CELs</t>
  </si>
  <si>
    <t>Medio térmico recuperado</t>
  </si>
  <si>
    <t>gases_combustion</t>
  </si>
  <si>
    <t>Define RefH. Para gases_combustion: RefH = 0.82.</t>
  </si>
  <si>
    <t>Nivel de tensión</t>
  </si>
  <si>
    <t>1-34 kV</t>
  </si>
  <si>
    <t>Define fp (factor pérdidas). Para 1-34 kV: fp = 0.94.</t>
  </si>
  <si>
    <t>Altitud (msnm)</t>
  </si>
  <si>
    <t>Para &gt;1500m aplica una tabla de RefE distinta.</t>
  </si>
  <si>
    <t>Tipo motor</t>
  </si>
  <si>
    <t>combustion_interna</t>
  </si>
  <si>
    <t>FACTORES APLICABLES (tomados de hoja Inputs)</t>
  </si>
  <si>
    <t>RefH (factor calor)</t>
  </si>
  <si>
    <t>fp (factor pérdidas)</t>
  </si>
  <si>
    <t>RefE (factor electricidad)</t>
  </si>
  <si>
    <t>RefE' (RefE × fp)</t>
  </si>
  <si>
    <t>RefE ajustado por pérdidas: RefE' = RefE × fp.</t>
  </si>
  <si>
    <t>DASHBOARD CONTABILIDAD ENERGÉTICA - CFE GDMTH - SEPTIEMBRE 2024</t>
  </si>
  <si>
    <t>KPIs PRINCIPALES</t>
  </si>
  <si>
    <t>Meses analizados</t>
  </si>
  <si>
    <t>Consumo total (kWh)</t>
  </si>
  <si>
    <t>Consumo total (MWh)</t>
  </si>
  <si>
    <t>Costo total del periodo (pre-IVA)</t>
  </si>
  <si>
    <t>Costo unitario promedio ($/kWh)</t>
  </si>
  <si>
    <t>Costo total pre-IVA / Total kWh. Es el $/kWh efectivo de CFE GDMTH.</t>
  </si>
  <si>
    <t>CONSUMO POR HORARIO</t>
  </si>
  <si>
    <t>% Base</t>
  </si>
  <si>
    <t>% Intermedia</t>
  </si>
  <si>
    <t>% Punta</t>
  </si>
  <si>
    <t>DEMANDAS Y FACTOR POTENCIA</t>
  </si>
  <si>
    <t>Factor de potencia</t>
  </si>
  <si>
    <t>COSTOS UNITARIOS POR HORARIO ($/kWh)</t>
  </si>
  <si>
    <t>$/kWh Base (Generación B)</t>
  </si>
  <si>
    <t>$/kWh Intermedia (Generación I)</t>
  </si>
  <si>
    <t>$/kWh Punta (Generación P)</t>
  </si>
  <si>
    <t>$/kWh promedio energía</t>
  </si>
  <si>
    <t>COSTOS POR COMPONENTE</t>
  </si>
  <si>
    <t>Energía (B+I+P)</t>
  </si>
  <si>
    <t>Capacidad</t>
  </si>
  <si>
    <t>Distribución</t>
  </si>
  <si>
    <t>CENACE + SCnMEM</t>
  </si>
  <si>
    <t>Suministro (fijo)</t>
  </si>
  <si>
    <t>Bonificación FP</t>
  </si>
  <si>
    <t>Subtotal</t>
  </si>
  <si>
    <t>op</t>
  </si>
  <si>
    <t>DASHBOARD CONTABILIDAD ENERGÉTICA - PPA CALIFICADO (GIN) - SEPTIEMBRE 2024</t>
  </si>
  <si>
    <t>Precio promedio ($/kWh)</t>
  </si>
  <si>
    <t>Subtotal / consumo. Es el $/kWh efectivo PPA (combinado energía + cargos CENACE).</t>
  </si>
  <si>
    <t>DETALLES DEL CONTRATO PPA</t>
  </si>
  <si>
    <t>Precio fijo contractual (USD/MWh)</t>
  </si>
  <si>
    <t>Capacidad contratada (kW)</t>
  </si>
  <si>
    <t>BLOQUE CONTRATADO vs CONSUMO REAL</t>
  </si>
  <si>
    <t>Consumo real sep-24 (MWh)</t>
  </si>
  <si>
    <t>% consumo vs bloque</t>
  </si>
  <si>
    <t>Si &gt;110%, hay excedente que se cobra a precio mercado CENACE.</t>
  </si>
  <si>
    <t>Banda tolerancia 110% (MWh)</t>
  </si>
  <si>
    <t>Excedente (MWh)</t>
  </si>
  <si>
    <t>Estado</t>
  </si>
  <si>
    <t>DIFERENCIA RESPECTO A FORMATO CFE GDMTH</t>
  </si>
  <si>
    <t>PPA NO tiene desglose por horario (Base/Intermedia/Punta).</t>
  </si>
  <si>
    <t>PPA NO tiene cargo separado de Capacidad ni Distribución sobre demanda kW.</t>
  </si>
  <si>
    <t>PPA cobra UN solo precio MXN/kWh combinado (energía + cargos CENACE no desglosados).</t>
  </si>
  <si>
    <t>Excedentes sobre el 110% del bloque se cobran a precio mercado CENACE de la zona.</t>
  </si>
  <si>
    <t>DASHBOARD COGENERACIÓN - CFE GDMTH - SEPTIEMBRE 2024</t>
  </si>
  <si>
    <t>INPUTS DEL ANÁLISIS</t>
  </si>
  <si>
    <t>Cobertura eléctrica</t>
  </si>
  <si>
    <t>Rendimiento eléctrico</t>
  </si>
  <si>
    <t>Rendimiento térmico</t>
  </si>
  <si>
    <t>Eficiencia caldera</t>
  </si>
  <si>
    <t>CONSUMO Y COBERTURA</t>
  </si>
  <si>
    <t>Total kWh del mes (factura)</t>
  </si>
  <si>
    <t>kWh cubiertos por cogeneración</t>
  </si>
  <si>
    <t>Total kWh × Cobertura. Es la energía que la cogeneración va a generar.</t>
  </si>
  <si>
    <t>kWh post-cogeneración (CFE)</t>
  </si>
  <si>
    <t>Lo que el cliente seguiría comprando a CFE.</t>
  </si>
  <si>
    <t>ASIGNACIÓN GREEDY DE COBERTURA POR HORARIO</t>
  </si>
  <si>
    <t>Asignación greedy. Primero cubre PUNTA (más caro), luego INTERMEDIA, luego BASE.</t>
  </si>
  <si>
    <t>kWh cubierto en Punta</t>
  </si>
  <si>
    <t>Resto cobertura después de Punta</t>
  </si>
  <si>
    <t>kWh cubierto en Intermedia</t>
  </si>
  <si>
    <t>Resto cobertura después de Intermedia</t>
  </si>
  <si>
    <t>kWh cubierto en Base</t>
  </si>
  <si>
    <t>AHORRO POR COMPONENTE - ENERGÍA</t>
  </si>
  <si>
    <t>Ahorro Energía Punta</t>
  </si>
  <si>
    <t>Ahorro Energía Intermedia</t>
  </si>
  <si>
    <t>Ahorro Energía Base</t>
  </si>
  <si>
    <t>TOTAL Ahorro Energía</t>
  </si>
  <si>
    <t>AHORRO POR COMPONENTE - CAPACIDAD</t>
  </si>
  <si>
    <t>kW facturado actual para Capacidad</t>
  </si>
  <si>
    <t>Demanda promedio POST cogen / 0.57 (ceiling)</t>
  </si>
  <si>
    <t>kWh_post_cogen / (720 × 0.57) redondeado arriba. Aplica CEILING en metodología CFE.</t>
  </si>
  <si>
    <t>ok. Confirmar que aplica kWh_post_cogen / (horas del mes × 0.57) redondeando arriba</t>
  </si>
  <si>
    <t>kW efectivo POST Capacidad (MIN)</t>
  </si>
  <si>
    <t>MIN(kw_max_punta, demanda_post/0.57 redondeada). Asunción conservadora kw_max no cambia.</t>
  </si>
  <si>
    <t>Reducción de kW (Capacidad)</t>
  </si>
  <si>
    <t>Ahorro Capacidad</t>
  </si>
  <si>
    <t>AHORRO POR COMPONENTE - DISTRIBUCIÓN</t>
  </si>
  <si>
    <t>kW facturado actual para Distribución</t>
  </si>
  <si>
    <t>kW efectivo POST Distribución (MIN)</t>
  </si>
  <si>
    <t>MIN(kw_max, demanda_post/0.57 redondeada).</t>
  </si>
  <si>
    <t>Reducción de kW (Distribución)</t>
  </si>
  <si>
    <t>Ahorro Distribución</t>
  </si>
  <si>
    <t>AHORRO POR COMPONENTE - OTROS SERVICIOS</t>
  </si>
  <si>
    <t>Se incluye una cuarta componente de ahorro, resultado de reducir los conceptos de Transmisión, CENACE y SCnMEM al reducir el consumo total de energía</t>
  </si>
  <si>
    <t>kWh facturado actual para Otros Servicios</t>
  </si>
  <si>
    <t>Reducción consumo (kWh)</t>
  </si>
  <si>
    <t>Precio Otros Servicio ($/kWh)</t>
  </si>
  <si>
    <t>Ahorro Otros Servicios</t>
  </si>
  <si>
    <t>AHORRO ELÉCTRICO TOTAL (suma 4 componentes)</t>
  </si>
  <si>
    <t>Se consideran 4 componenetes porque se adiciona el ehorro resultante de reducir otros servicios (Transmisión, CENACE y SCnMEM) al reducir el consumo total de energia (kWh) del periodo</t>
  </si>
  <si>
    <t>AHORRO ELÉCTRICO MES</t>
  </si>
  <si>
    <t>GAS DE COGENERACIÓN Y CALOR RECUPERADO</t>
  </si>
  <si>
    <t>GJ de gas requerido por cogeneración</t>
  </si>
  <si>
    <t>GJ requerido = (kWh cubierto × 0.0036 GJ/kWh) / rendimiento eléctrico.</t>
  </si>
  <si>
    <t>GJ de calor útil recuperado</t>
  </si>
  <si>
    <t>GJ_calor = GJ_gas × rendimiento térmico.</t>
  </si>
  <si>
    <t>GJ ahorrado en caldera (PCI)</t>
  </si>
  <si>
    <t>GJ_caldera_ahorrado = GJ_calor / eficiencia_caldera.</t>
  </si>
  <si>
    <t>PRECIOS Y COSTOS DE GAS</t>
  </si>
  <si>
    <t>Precio gas $/GJ PCI</t>
  </si>
  <si>
    <t>Costo Gas para Cogeneración</t>
  </si>
  <si>
    <t>Ahorro Caldera (gas evitado)</t>
  </si>
  <si>
    <t>GJ_caldera_ahorrado × precio gas. La cogen evita comprar este gas para la caldera.</t>
  </si>
  <si>
    <t>O&amp;M (Operación y Mantenimiento)</t>
  </si>
  <si>
    <t>Costo O&amp;M</t>
  </si>
  <si>
    <t>RESUMEN P&amp;L MENSUAL</t>
  </si>
  <si>
    <t>(+) Ahorro Electricidad</t>
  </si>
  <si>
    <t>(+) Ahorro Caldera</t>
  </si>
  <si>
    <t>Total Ingresos</t>
  </si>
  <si>
    <t>(-) Costo Gas Cogen</t>
  </si>
  <si>
    <t>(-) O&amp;M</t>
  </si>
  <si>
    <t>Total Gastos</t>
  </si>
  <si>
    <t>AHORRO NETO MES</t>
  </si>
  <si>
    <t>PROYECCIÓN ANUAL (mes × 12 - simplificada)</t>
  </si>
  <si>
    <t>Ahorro Electricidad anual proyectado</t>
  </si>
  <si>
    <t>Ahorro Caldera anual proyectado</t>
  </si>
  <si>
    <t>Costo Gas Cogen anual</t>
  </si>
  <si>
    <t>O&amp;M anual</t>
  </si>
  <si>
    <t>AHORRO NETO ANUAL</t>
  </si>
  <si>
    <t>Proyección lineal sobre un mes × 12. NO representa el año real (consumos varían).</t>
  </si>
  <si>
    <t>CAPACIDAD NOMINAL Y CELs</t>
  </si>
  <si>
    <t>Capacidad nominal (max kWh/720, ceiling)</t>
  </si>
  <si>
    <t>Capacidad = ceiling(kWh_max_mes / horas del mes). En modelo real es max sobre meses.</t>
  </si>
  <si>
    <t>ok. Al estar referido a '1. Inputs'!C12 se tiene en cuenta que aplicará las horas del mes que corresponda</t>
  </si>
  <si>
    <t>Capacidad nominal (MW)</t>
  </si>
  <si>
    <t>E (electricidad MWh) anual</t>
  </si>
  <si>
    <t>F (combustible PCI MWh) anual</t>
  </si>
  <si>
    <t>GJ a MWh: dividir entre 3.6.</t>
  </si>
  <si>
    <t>H (calor útil MWh) anual</t>
  </si>
  <si>
    <t>Fh = H / RefH</t>
  </si>
  <si>
    <t>Fe = F - Fh</t>
  </si>
  <si>
    <t>EP = E/RefE' + H/RefH</t>
  </si>
  <si>
    <t>AEP = EP - F</t>
  </si>
  <si>
    <t>ELC = AEP × RefE</t>
  </si>
  <si>
    <t>CELs Generados (anuales). Si AEP &gt; 0 cumple Caso I CRE de cogeneración eficiente.</t>
  </si>
  <si>
    <t>% Energía Limpia</t>
  </si>
  <si>
    <t>(CELs MWh × 1000) / kWh totales anuales × 100.</t>
  </si>
  <si>
    <t>INVERSIÓN Y FLUJO 15 AÑOS</t>
  </si>
  <si>
    <t>Inversión USD</t>
  </si>
  <si>
    <t>Inversión MXN</t>
  </si>
  <si>
    <t>Beneficio fiscal año 1</t>
  </si>
  <si>
    <t>Flujo año 1 (con beneficio fiscal)</t>
  </si>
  <si>
    <t>Flujo años 2-15 (ahorro neto constante)</t>
  </si>
  <si>
    <t>Acumulado año 1</t>
  </si>
  <si>
    <t>Acumulado año 2</t>
  </si>
  <si>
    <t>Acumulado año 3</t>
  </si>
  <si>
    <t>Acumulado año 4</t>
  </si>
  <si>
    <t>Año en que el acumulado cruza cero. Considera beneficio fiscal año 1.</t>
  </si>
  <si>
    <t>El cálculo debería considerar no el año como valor entero, sino con decimales. Es decir, si el acumulado cruza cero a mitad del tercer año, el periodo de retorno sería 2.5 años.</t>
  </si>
  <si>
    <t>Acumulado año 5</t>
  </si>
  <si>
    <t>Payback (años, con beneficio fiscal)</t>
  </si>
  <si>
    <t>Año en que el acumulado cruza cero, con interpolación lineal: (año N-1) + |acumulado año N-1| / flujo año N. Considera beneficio fiscal año 1.</t>
  </si>
  <si>
    <t>DASHBOARD COGENERACIÓN - PPA CALIFICADO (GIN) - SEPTIEMBRE 2024</t>
  </si>
  <si>
    <t>Suministro: Calificado (PPA) - GENERACION INDUSTRIAL</t>
  </si>
  <si>
    <t>CONSUMO Y COBERTURA (sin desglose horario en PPA)</t>
  </si>
  <si>
    <t>Total kWh del mes (factura PPA)</t>
  </si>
  <si>
    <t>Total kWh × Cobertura. Misma lógica que CFE pero sin asignación greedy por horario.</t>
  </si>
  <si>
    <t>kWh post-cogeneración</t>
  </si>
  <si>
    <t>PRECIO PROMEDIO PPA Y AHORRO ELÉCTRICO (sin desglose por componente)</t>
  </si>
  <si>
    <t>Subtotal pre-IVA de factura</t>
  </si>
  <si>
    <t>Precio promedio MXN/kWh</t>
  </si>
  <si>
    <t>Subtotal / consumo. Precio combinado (energía + cargos CENACE).</t>
  </si>
  <si>
    <t>AHORRO ELÉCTRICO MES (PPA)</t>
  </si>
  <si>
    <t>kWh cubiertos × precio promedio. UN solo componente. NO hay Capacidad ni Distribución.</t>
  </si>
  <si>
    <t>DIFERENCIA RESPECTO A CFE GDMTH</t>
  </si>
  <si>
    <t>PPA: ahorro electricidad = kWh cubierto × precio promedio único.</t>
  </si>
  <si>
    <t>CFE: ahorro electricidad = Ahorro Energía (greedy horario) + Ahorro Capacidad + Ahorro Distribución +Ahoro Otros Servicios</t>
  </si>
  <si>
    <t>Resto de componentes (caldera, gas cogen, O&amp;M, CELs, energía limpia, inversión, payback): IDÉNTICOS a CFE.</t>
  </si>
  <si>
    <t>GAS DE COGENERACIÓN Y CALOR RECUPERADO (idéntico a CFE)</t>
  </si>
  <si>
    <t>Ahorro Caldera</t>
  </si>
  <si>
    <t>O&amp;M</t>
  </si>
  <si>
    <t>(+) Ahorro Electricidad (PPA)</t>
  </si>
  <si>
    <t>CAPACIDAD NOMINAL Y CELs (idéntico a CFE)</t>
  </si>
  <si>
    <t>Capacidad nominal (max kWh/horas del mes, ceiling)</t>
  </si>
  <si>
    <t>ceiling(kWh_max_mes / horas del mes). En modelo real es max sobre los meses.</t>
  </si>
  <si>
    <t>ELC = AEP × RefE (CELs)</t>
  </si>
  <si>
    <t>Misma fórmula que CFE. Cogeneración eficiente CRE genera CELs independiente del tipo de suministro.</t>
  </si>
  <si>
    <t>Decisión metodológica: CELs NO se monetizan en NINGÚN dashboard. Se muestran como indicador.</t>
  </si>
  <si>
    <t>INVERSIÓN Y FLUJO 15 AÑOS (idéntico a CFE)</t>
  </si>
  <si>
    <t>Año en que el acumulado cruza cero, con interpolación lineal: (año N-1) + |acumulado año N-1| / flujo año N.</t>
  </si>
  <si>
    <t>VALIDACIÓN COMPARATIVA - SMOKE TEST</t>
  </si>
  <si>
    <t>Indicador</t>
  </si>
  <si>
    <t>CFE GDMTH</t>
  </si>
  <si>
    <t>PPA Calificado</t>
  </si>
  <si>
    <t>Observación</t>
  </si>
  <si>
    <t>CONTABILIDAD ENERGÉTICA</t>
  </si>
  <si>
    <t>CFE: 1.1M kWh (consumo registrado). PPA: 2.06M kWh (consumo distinto, escenario teórico).</t>
  </si>
  <si>
    <t>Costo total pre-IVA</t>
  </si>
  <si>
    <t>CFE incluye desglose. PPA es precio combinado.</t>
  </si>
  <si>
    <t>COGENERACIÓN - INGRESOS</t>
  </si>
  <si>
    <t>Ahorro Electricidad MES</t>
  </si>
  <si>
    <t>CFE: suma 3 componentes. PPA: kWh cubierto × precio promedio.</t>
  </si>
  <si>
    <t xml:space="preserve">  Ahorro Energía (solo CFE)</t>
  </si>
  <si>
    <t>PPA no tiene desglose por horario.</t>
  </si>
  <si>
    <t xml:space="preserve">  Ahorro Capacidad (solo CFE)</t>
  </si>
  <si>
    <t>PPA no cobra capacidad sobre demanda kW.</t>
  </si>
  <si>
    <t xml:space="preserve">  Ahorro Distribución (solo CFE)</t>
  </si>
  <si>
    <t>PPA no cobra distribución sobre demanda kW.</t>
  </si>
  <si>
    <t xml:space="preserve">  Ahorro Otros Servicios (Transm+CENACE+SCnMEM)</t>
  </si>
  <si>
    <t>Cuarto componente CFE: Transmisión + CENACE + SCnMEM, proporcionales al consumo. PPA no aplica.</t>
  </si>
  <si>
    <t>Ahorro Caldera MES</t>
  </si>
  <si>
    <t>Misma fórmula en ambos. Difiere por kWh cubierto distintos.</t>
  </si>
  <si>
    <t>Total Ingresos MES</t>
  </si>
  <si>
    <t>COGENERACIÓN - GASTOS</t>
  </si>
  <si>
    <t>Costo Gas Cogen MES</t>
  </si>
  <si>
    <t>O&amp;M MES</t>
  </si>
  <si>
    <t>Total Gastos MES</t>
  </si>
  <si>
    <t>AHORRO NETO</t>
  </si>
  <si>
    <t>AHORRO NETO ANUAL PROYECTADO</t>
  </si>
  <si>
    <t>Mes × 12. Proyección lineal simple.</t>
  </si>
  <si>
    <t>CAPACIDAD Y CELs (deben ser idénticos cuando consumos sean iguales)</t>
  </si>
  <si>
    <t>Capacidad nominal kW</t>
  </si>
  <si>
    <t>Misma fórmula (ceiling max kWh/horas del mes). Difiere por consumos distintos.</t>
  </si>
  <si>
    <t>CELs anuales (MWh)</t>
  </si>
  <si>
    <t>Misma fórmula CRE Caso I. Difiere por kWh cubierto distintos.</t>
  </si>
  <si>
    <t>INVERSIÓN Y PAYBACK</t>
  </si>
  <si>
    <t>Flujo año 1 con beneficio</t>
  </si>
  <si>
    <t>Payback (años)</t>
  </si>
  <si>
    <t>VERIFICACIONES INTERNAS DEL MODELO</t>
  </si>
  <si>
    <t>CFE: kWh asignados greedy = kWh cubierto?</t>
  </si>
  <si>
    <t>Suma de los 3 horarios debe igualar la cobertura total.</t>
  </si>
  <si>
    <t>CFE: precio promedio horario × kWh = energía total?</t>
  </si>
  <si>
    <t>PPA: subtotal = kWh × precio?</t>
  </si>
  <si>
    <t>Gas: subtotal calculado = subtotal factura?</t>
  </si>
  <si>
    <t>Misma factura de gas en ambos escenarios.</t>
  </si>
  <si>
    <t>NOTAS METODOLÓGICAS</t>
  </si>
  <si>
    <t>Las facturas CFE y PPA usadas son de septiembre 2024 (mismo mes) pero con CONSUMOS distintos.</t>
  </si>
  <si>
    <t>Esto es escenario teórico para validar fórmulas. NO comparar valores absolutos.</t>
  </si>
  <si>
    <t>Lo importante es validar que cada metodología (CFE vs PPA) aplica las fórmulas correctas a sus datos.</t>
  </si>
  <si>
    <t>Inversión, beneficio fiscal y payback: idéntica fórmula. Difieren por capacidades distintas (consumos distintos).</t>
  </si>
  <si>
    <t>Caldera, gas cogen, O&amp;M, CELs, Energía Limpia: misma fórmula. Difieren por kWh cubierto.</t>
  </si>
  <si>
    <t>Ahorro eléctrico: única fórmula que CAMBIA entre CFE y PPA.</t>
  </si>
  <si>
    <t>#</t>
  </si>
  <si>
    <t>Ingreso total</t>
  </si>
  <si>
    <t>Gasto total</t>
  </si>
  <si>
    <t>Ahorro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</si>
</sst>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0.00%;\-0.00%;\-"/>
    <numFmt numFmtId="165" formatCode="0.0000&quot; GJ/kWh&quot;"/>
    <numFmt numFmtId="166" formatCode="0.000"/>
    <numFmt numFmtId="167" formatCode="#,##0&quot; h&quot;"/>
    <numFmt numFmtId="168" formatCode="[$$-409]#,##0.00;\([$$-409]#,##0.00\);\-"/>
    <numFmt numFmtId="169" formatCode="0.00&quot; MXN/USD&quot;"/>
    <numFmt numFmtId="170" formatCode="#,##0&quot; años&quot;"/>
    <numFmt numFmtId="171" formatCode="\$#,##0.00"/>
    <numFmt numFmtId="172" formatCode="#,##0&quot; m&quot;"/>
    <numFmt numFmtId="173" formatCode="#,##0&quot; días&quot;"/>
    <numFmt numFmtId="174" formatCode="#,##0&quot; kW&quot;"/>
    <numFmt numFmtId="175" formatCode="#,##0&quot; kWh&quot;"/>
    <numFmt numFmtId="176" formatCode="#,##0&quot; kVArh&quot;"/>
    <numFmt numFmtId="177" formatCode="\$#,##0.00;&quot;($&quot;#,##0.00\);\-"/>
    <numFmt numFmtId="178" formatCode="\$#,##0.000000"/>
    <numFmt numFmtId="179" formatCode="#,##0.000&quot; MWh&quot;"/>
    <numFmt numFmtId="180" formatCode="\$#,##0.00&quot; USD/MWh&quot;"/>
    <numFmt numFmtId="181" formatCode="#,##0.00&quot; m³&quot;"/>
    <numFmt numFmtId="182" formatCode="0.000000&quot; GJ/m³&quot;"/>
    <numFmt numFmtId="183" formatCode="#,##0.0000&quot; GJ&quot;"/>
    <numFmt numFmtId="184" formatCode="\$#,##0.0000&quot; /GJ&quot;"/>
    <numFmt numFmtId="185" formatCode="0.0000"/>
    <numFmt numFmtId="186" formatCode="#,##0&quot; facturas CFE&quot;"/>
    <numFmt numFmtId="187" formatCode="\$#,##0.0000"/>
    <numFmt numFmtId="188" formatCode="#,##0&quot; facturas PPA&quot;"/>
    <numFmt numFmtId="189" formatCode="#,##0.000&quot; GJ&quot;"/>
    <numFmt numFmtId="190" formatCode="\$#,##0;&quot;($&quot;#,##0\);\-"/>
    <numFmt numFmtId="191" formatCode="#,##0.000&quot; MW&quot;"/>
    <numFmt numFmtId="192" formatCode="#,##0.00&quot; MWh CEL&quot;"/>
    <numFmt numFmtId="193" formatCode="\$#,##0&quot; USD&quot;"/>
    <numFmt numFmtId="194" formatCode="0.00&quot; años&quot;"/>
    <numFmt numFmtId="195" formatCode="#,##0.00&quot; MWh&quot;"/>
  </numFmts>
  <fonts count="26" x14ac:knownFonts="1">
    <font>
      <sz val="11"/>
      <color theme="1"/>
      <name val="Calibri"/>
      <family val="2"/>
      <charset val="1"/>
    </font>
    <font>
      <b/>
      <sz val="12"/>
      <color rgb="FFFFFFFF"/>
      <name val="Arial"/>
      <family val="2"/>
      <charset val="1"/>
    </font>
    <font>
      <b/>
      <sz val="11"/>
      <color rgb="FF000000"/>
      <name val="Arial"/>
      <family val="2"/>
      <charset val="1"/>
    </font>
    <font>
      <sz val="10"/>
      <name val="Arial"/>
      <family val="2"/>
      <charset val="1"/>
    </font>
    <font>
      <b/>
      <sz val="10"/>
      <color rgb="FF0000FF"/>
      <name val="Arial"/>
      <family val="2"/>
      <charset val="1"/>
    </font>
    <font>
      <i/>
      <sz val="9"/>
      <color rgb="FF616161"/>
      <name val="Arial"/>
      <family val="2"/>
      <charset val="1"/>
    </font>
    <font>
      <i/>
      <sz val="9"/>
      <color rgb="FFFF0000"/>
      <name val="Arial"/>
      <family val="2"/>
      <charset val="1"/>
    </font>
    <font>
      <sz val="10"/>
      <color rgb="FF0000FF"/>
      <name val="Arial"/>
      <family val="2"/>
      <charset val="1"/>
    </font>
    <font>
      <sz val="10"/>
      <color rgb="FF008000"/>
      <name val="Arial"/>
      <family val="2"/>
    </font>
    <font>
      <i/>
      <sz val="9"/>
      <color rgb="FF616161"/>
      <name val="Arial"/>
      <family val="2"/>
    </font>
    <font>
      <sz val="10"/>
      <color rgb="FF0000FF"/>
      <name val="Arial"/>
      <family val="2"/>
    </font>
    <font>
      <b/>
      <sz val="10"/>
      <name val="Arial"/>
      <family val="2"/>
      <charset val="1"/>
    </font>
    <font>
      <b/>
      <sz val="10"/>
      <color rgb="FF000000"/>
      <name val="Arial"/>
      <family val="2"/>
      <charset val="1"/>
    </font>
    <font>
      <sz val="10"/>
      <color rgb="FF008000"/>
      <name val="Arial"/>
      <family val="2"/>
      <charset val="1"/>
    </font>
    <font>
      <sz val="10"/>
      <color theme="3" tint="0.39988402966399123"/>
      <name val="Arial"/>
      <family val="2"/>
      <charset val="1"/>
    </font>
    <font>
      <sz val="10"/>
      <color rgb="FF000000"/>
      <name val="Arial"/>
      <family val="2"/>
      <charset val="1"/>
    </font>
    <font>
      <b/>
      <sz val="11"/>
      <color rgb="FFFF0000"/>
      <name val="Arial"/>
      <family val="2"/>
      <charset val="1"/>
    </font>
    <font>
      <sz val="11"/>
      <color rgb="FFFF0000"/>
      <name val="Calibri"/>
      <family val="2"/>
      <charset val="1"/>
    </font>
    <font>
      <sz val="10"/>
      <color rgb="FFFF0000"/>
      <name val="Arial"/>
      <family val="2"/>
      <charset val="1"/>
    </font>
    <font>
      <b/>
      <sz val="10"/>
      <color rgb="FFFF0000"/>
      <name val="Arial"/>
      <family val="2"/>
      <charset val="1"/>
    </font>
    <font>
      <b/>
      <sz val="10"/>
      <color rgb="FF008000"/>
      <name val="Arial"/>
      <family val="2"/>
      <charset val="1"/>
    </font>
    <font>
      <b/>
      <sz val="10"/>
      <name val="Arial"/>
      <family val="2"/>
    </font>
    <font>
      <sz val="10"/>
      <name val="Arial"/>
      <family val="2"/>
    </font>
    <font>
      <b/>
      <sz val="10"/>
      <color rgb="FF0D47A1"/>
      <name val="Arial"/>
      <family val="2"/>
      <charset val="1"/>
    </font>
    <font>
      <b/>
      <sz val="10"/>
      <color rgb="FFFFFFFF"/>
      <name val="Arial"/>
      <family val="2"/>
      <charset val="1"/>
    </font>
    <font>
      <b/>
      <sz val="10"/>
      <color rgb="FF008000"/>
      <name val="Arial"/>
      <family val="2"/>
    </font>
  </fonts>
  <fills count="14">
    <fill>
      <patternFill patternType="none"/>
    </fill>
    <fill>
      <patternFill patternType="gray125"/>
    </fill>
    <fill>
      <patternFill patternType="solid">
        <fgColor rgb="FF37474F"/>
        <bgColor rgb="FF333399"/>
      </patternFill>
    </fill>
    <fill>
      <patternFill patternType="solid">
        <fgColor rgb="FFECEFF1"/>
        <bgColor rgb="FFE8F5E9"/>
      </patternFill>
    </fill>
    <fill>
      <patternFill patternType="solid">
        <fgColor rgb="FFFFFFCC"/>
        <bgColor rgb="FFFFF8E1"/>
      </patternFill>
    </fill>
    <fill>
      <patternFill patternType="solid">
        <fgColor rgb="FFE8F5E9"/>
        <bgColor rgb="FFECEFF1"/>
      </patternFill>
    </fill>
    <fill>
      <patternFill patternType="solid">
        <fgColor rgb="FFE3F2FD"/>
        <bgColor rgb="FFECEFF1"/>
      </patternFill>
    </fill>
    <fill>
      <patternFill patternType="solid">
        <fgColor rgb="FFFFF8E1"/>
        <bgColor rgb="FFFFFFCC"/>
      </patternFill>
    </fill>
    <fill>
      <patternFill patternType="solid">
        <fgColor rgb="FFF5F5F5"/>
        <bgColor rgb="FFECEFF1"/>
      </patternFill>
    </fill>
    <fill>
      <patternFill patternType="solid">
        <fgColor rgb="FFC8E6C9"/>
        <bgColor rgb="FFBBDEFB"/>
      </patternFill>
    </fill>
    <fill>
      <patternFill patternType="solid">
        <fgColor rgb="FFFFE0B2"/>
        <bgColor rgb="FFFFF8E1"/>
      </patternFill>
    </fill>
    <fill>
      <patternFill patternType="solid">
        <fgColor rgb="FFBBDEFB"/>
        <bgColor rgb="FFC8E6C9"/>
      </patternFill>
    </fill>
    <fill>
      <patternFill patternType="solid">
        <fgColor rgb="FF2E7D32"/>
        <bgColor rgb="FF008000"/>
      </patternFill>
    </fill>
    <fill>
      <patternFill patternType="solid">
        <fgColor rgb="FF1565C0"/>
        <bgColor rgb="FF0D47A1"/>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73">
    <xf numFmtId="0" fontId="0" fillId="0" borderId="0" xfId="0"/>
    <xf numFmtId="0" fontId="2" fillId="9" borderId="0" xfId="0" applyFont="1" applyFill="1" applyAlignment="1">
      <alignment horizontal="left" vertical="center" indent="1"/>
    </xf>
    <xf numFmtId="0" fontId="2" fillId="3" borderId="0" xfId="0" applyFont="1" applyFill="1" applyAlignment="1">
      <alignment horizontal="left" vertical="center" indent="1"/>
    </xf>
    <xf numFmtId="0" fontId="3" fillId="0" borderId="0" xfId="0" applyFont="1" applyAlignment="1">
      <alignment horizontal="left" vertical="center" indent="1"/>
    </xf>
    <xf numFmtId="164" fontId="4" fillId="4" borderId="1" xfId="0" applyNumberFormat="1" applyFont="1" applyFill="1" applyBorder="1" applyAlignment="1">
      <alignment horizontal="right" vertical="center"/>
    </xf>
    <xf numFmtId="0" fontId="5" fillId="0" borderId="0" xfId="0" applyFont="1" applyAlignment="1">
      <alignment horizontal="left" vertical="center" wrapText="1" indent="1"/>
    </xf>
    <xf numFmtId="0" fontId="6" fillId="0" borderId="0" xfId="0" applyFont="1" applyAlignment="1">
      <alignment horizontal="left" vertical="center" wrapText="1" indent="1"/>
    </xf>
    <xf numFmtId="165" fontId="7" fillId="0" borderId="1" xfId="0" applyNumberFormat="1" applyFont="1" applyBorder="1" applyAlignment="1">
      <alignment horizontal="right" vertical="center"/>
    </xf>
    <xf numFmtId="166" fontId="7" fillId="0" borderId="1" xfId="0" applyNumberFormat="1" applyFont="1" applyBorder="1" applyAlignment="1">
      <alignment horizontal="right" vertical="center"/>
    </xf>
    <xf numFmtId="167" fontId="8" fillId="0" borderId="1" xfId="0" applyNumberFormat="1" applyFont="1" applyBorder="1" applyAlignment="1">
      <alignment horizontal="right" vertical="center"/>
    </xf>
    <xf numFmtId="0" fontId="9" fillId="0" borderId="0" xfId="0" applyFont="1" applyAlignment="1">
      <alignment horizontal="left" vertical="center" wrapText="1" indent="1"/>
    </xf>
    <xf numFmtId="2" fontId="7" fillId="0" borderId="1" xfId="0" applyNumberFormat="1" applyFont="1" applyBorder="1" applyAlignment="1">
      <alignment horizontal="right" vertical="center"/>
    </xf>
    <xf numFmtId="168" fontId="4" fillId="4" borderId="1" xfId="0" applyNumberFormat="1" applyFont="1" applyFill="1" applyBorder="1" applyAlignment="1">
      <alignment horizontal="right" vertical="center"/>
    </xf>
    <xf numFmtId="169" fontId="4" fillId="4" borderId="1" xfId="0" applyNumberFormat="1" applyFont="1" applyFill="1" applyBorder="1" applyAlignment="1">
      <alignment horizontal="right" vertical="center"/>
    </xf>
    <xf numFmtId="164" fontId="7" fillId="0" borderId="1" xfId="0" applyNumberFormat="1" applyFont="1" applyBorder="1" applyAlignment="1">
      <alignment horizontal="right" vertical="center"/>
    </xf>
    <xf numFmtId="170" fontId="7" fillId="0" borderId="1" xfId="0" applyNumberFormat="1" applyFont="1" applyBorder="1" applyAlignment="1">
      <alignment horizontal="right" vertical="center"/>
    </xf>
    <xf numFmtId="171" fontId="7" fillId="0" borderId="1" xfId="0" applyNumberFormat="1" applyFont="1" applyBorder="1" applyAlignment="1">
      <alignment horizontal="right" vertical="center"/>
    </xf>
    <xf numFmtId="166" fontId="10" fillId="0" borderId="1" xfId="0" applyNumberFormat="1" applyFont="1" applyBorder="1" applyAlignment="1">
      <alignment horizontal="right" vertical="center"/>
    </xf>
    <xf numFmtId="172" fontId="7" fillId="0" borderId="1" xfId="0" applyNumberFormat="1" applyFont="1" applyBorder="1" applyAlignment="1">
      <alignment horizontal="right" vertical="center"/>
    </xf>
    <xf numFmtId="0" fontId="3" fillId="5" borderId="0" xfId="0" applyFont="1" applyFill="1" applyAlignment="1">
      <alignment horizontal="left" vertical="center" indent="1"/>
    </xf>
    <xf numFmtId="0" fontId="7" fillId="5" borderId="1" xfId="0" applyFont="1" applyFill="1" applyBorder="1" applyAlignment="1">
      <alignment horizontal="right" vertical="center"/>
    </xf>
    <xf numFmtId="0" fontId="0" fillId="5" borderId="0" xfId="0" applyFill="1"/>
    <xf numFmtId="0" fontId="5" fillId="5" borderId="0" xfId="0" applyFont="1" applyFill="1" applyAlignment="1">
      <alignment horizontal="left" vertical="center" wrapText="1" indent="1"/>
    </xf>
    <xf numFmtId="3" fontId="7" fillId="5" borderId="1" xfId="0" applyNumberFormat="1" applyFont="1" applyFill="1" applyBorder="1" applyAlignment="1">
      <alignment horizontal="right" vertical="center"/>
    </xf>
    <xf numFmtId="173" fontId="7" fillId="5" borderId="1" xfId="0" applyNumberFormat="1" applyFont="1" applyFill="1" applyBorder="1" applyAlignment="1">
      <alignment horizontal="right" vertical="center"/>
    </xf>
    <xf numFmtId="174" fontId="7" fillId="5" borderId="1" xfId="0" applyNumberFormat="1" applyFont="1" applyFill="1" applyBorder="1" applyAlignment="1">
      <alignment horizontal="right" vertical="center"/>
    </xf>
    <xf numFmtId="175" fontId="7" fillId="5" borderId="1" xfId="0" applyNumberFormat="1" applyFont="1" applyFill="1" applyBorder="1" applyAlignment="1">
      <alignment horizontal="right" vertical="center"/>
    </xf>
    <xf numFmtId="0" fontId="11" fillId="5" borderId="0" xfId="0" applyFont="1" applyFill="1" applyAlignment="1">
      <alignment horizontal="left" vertical="center" indent="1"/>
    </xf>
    <xf numFmtId="175" fontId="12" fillId="5" borderId="1" xfId="0" applyNumberFormat="1" applyFont="1" applyFill="1" applyBorder="1" applyAlignment="1">
      <alignment horizontal="right" vertical="center"/>
    </xf>
    <xf numFmtId="174" fontId="13" fillId="5" borderId="1" xfId="0" applyNumberFormat="1" applyFont="1" applyFill="1" applyBorder="1" applyAlignment="1">
      <alignment horizontal="right" vertical="center"/>
    </xf>
    <xf numFmtId="176" fontId="7" fillId="5" borderId="1" xfId="0" applyNumberFormat="1" applyFont="1" applyFill="1" applyBorder="1" applyAlignment="1">
      <alignment horizontal="right" vertical="center"/>
    </xf>
    <xf numFmtId="164" fontId="7" fillId="5" borderId="1" xfId="0" applyNumberFormat="1" applyFont="1" applyFill="1" applyBorder="1" applyAlignment="1">
      <alignment horizontal="right" vertical="center"/>
    </xf>
    <xf numFmtId="177" fontId="7" fillId="5" borderId="1" xfId="0" applyNumberFormat="1" applyFont="1" applyFill="1" applyBorder="1" applyAlignment="1">
      <alignment horizontal="right" vertical="center"/>
    </xf>
    <xf numFmtId="177" fontId="14" fillId="5" borderId="1" xfId="0" applyNumberFormat="1" applyFont="1" applyFill="1" applyBorder="1" applyAlignment="1">
      <alignment horizontal="right" vertical="center"/>
    </xf>
    <xf numFmtId="177" fontId="12" fillId="5" borderId="1" xfId="0" applyNumberFormat="1" applyFont="1" applyFill="1" applyBorder="1" applyAlignment="1">
      <alignment horizontal="right" vertical="center"/>
    </xf>
    <xf numFmtId="178" fontId="15" fillId="5" borderId="1" xfId="0" applyNumberFormat="1" applyFont="1" applyFill="1" applyBorder="1" applyAlignment="1">
      <alignment horizontal="right" vertical="center"/>
    </xf>
    <xf numFmtId="0" fontId="6" fillId="5" borderId="0" xfId="0" applyFont="1" applyFill="1" applyAlignment="1">
      <alignment horizontal="left" vertical="center" wrapText="1" indent="1"/>
    </xf>
    <xf numFmtId="178" fontId="12" fillId="5" borderId="1" xfId="0" applyNumberFormat="1" applyFont="1" applyFill="1" applyBorder="1" applyAlignment="1">
      <alignment horizontal="right" vertical="center"/>
    </xf>
    <xf numFmtId="174" fontId="15" fillId="5" borderId="1" xfId="0" applyNumberFormat="1" applyFont="1" applyFill="1" applyBorder="1" applyAlignment="1">
      <alignment horizontal="right" vertical="center"/>
    </xf>
    <xf numFmtId="171" fontId="15" fillId="5" borderId="1" xfId="0" applyNumberFormat="1" applyFont="1" applyFill="1" applyBorder="1" applyAlignment="1">
      <alignment horizontal="right" vertical="center"/>
    </xf>
    <xf numFmtId="171" fontId="15" fillId="5" borderId="0" xfId="0" applyNumberFormat="1" applyFont="1" applyFill="1" applyAlignment="1">
      <alignment horizontal="right" vertical="center"/>
    </xf>
    <xf numFmtId="0" fontId="17" fillId="0" borderId="0" xfId="0" applyFont="1"/>
    <xf numFmtId="0" fontId="18" fillId="5" borderId="0" xfId="0" applyFont="1" applyFill="1" applyAlignment="1">
      <alignment horizontal="left" vertical="center" indent="1"/>
    </xf>
    <xf numFmtId="178" fontId="18" fillId="5" borderId="1" xfId="0" applyNumberFormat="1" applyFont="1" applyFill="1" applyBorder="1" applyAlignment="1">
      <alignment horizontal="right" vertical="center"/>
    </xf>
    <xf numFmtId="0" fontId="17" fillId="5" borderId="0" xfId="0" applyFont="1" applyFill="1"/>
    <xf numFmtId="0" fontId="19" fillId="5" borderId="0" xfId="0" applyFont="1" applyFill="1" applyAlignment="1">
      <alignment horizontal="left" vertical="center" indent="1"/>
    </xf>
    <xf numFmtId="178" fontId="19" fillId="5" borderId="1" xfId="0" applyNumberFormat="1" applyFont="1" applyFill="1" applyBorder="1" applyAlignment="1">
      <alignment horizontal="right" vertical="center"/>
    </xf>
    <xf numFmtId="0" fontId="3" fillId="6" borderId="0" xfId="0" applyFont="1" applyFill="1" applyAlignment="1">
      <alignment horizontal="left" vertical="center" indent="1"/>
    </xf>
    <xf numFmtId="0" fontId="7" fillId="6" borderId="1" xfId="0" applyFont="1" applyFill="1" applyBorder="1" applyAlignment="1">
      <alignment horizontal="right" vertical="center"/>
    </xf>
    <xf numFmtId="0" fontId="0" fillId="6" borderId="0" xfId="0" applyFill="1"/>
    <xf numFmtId="173" fontId="7" fillId="6" borderId="1" xfId="0" applyNumberFormat="1" applyFont="1" applyFill="1" applyBorder="1" applyAlignment="1">
      <alignment horizontal="right" vertical="center"/>
    </xf>
    <xf numFmtId="175" fontId="7" fillId="6" borderId="1" xfId="0" applyNumberFormat="1" applyFont="1" applyFill="1" applyBorder="1" applyAlignment="1">
      <alignment horizontal="right" vertical="center"/>
    </xf>
    <xf numFmtId="0" fontId="5" fillId="6" borderId="0" xfId="0" applyFont="1" applyFill="1" applyAlignment="1">
      <alignment horizontal="left" vertical="center" wrapText="1" indent="1"/>
    </xf>
    <xf numFmtId="179" fontId="15" fillId="6" borderId="1" xfId="0" applyNumberFormat="1" applyFont="1" applyFill="1" applyBorder="1" applyAlignment="1">
      <alignment horizontal="right" vertical="center"/>
    </xf>
    <xf numFmtId="178" fontId="7" fillId="6" borderId="1" xfId="0" applyNumberFormat="1" applyFont="1" applyFill="1" applyBorder="1" applyAlignment="1">
      <alignment horizontal="right" vertical="center"/>
    </xf>
    <xf numFmtId="177" fontId="7" fillId="6" borderId="1" xfId="0" applyNumberFormat="1" applyFont="1" applyFill="1" applyBorder="1" applyAlignment="1">
      <alignment horizontal="right" vertical="center"/>
    </xf>
    <xf numFmtId="177" fontId="15" fillId="6" borderId="1" xfId="0" applyNumberFormat="1" applyFont="1" applyFill="1" applyBorder="1" applyAlignment="1">
      <alignment horizontal="right" vertical="center"/>
    </xf>
    <xf numFmtId="0" fontId="11" fillId="6" borderId="0" xfId="0" applyFont="1" applyFill="1" applyAlignment="1">
      <alignment horizontal="left" vertical="center" indent="1"/>
    </xf>
    <xf numFmtId="180" fontId="7" fillId="6" borderId="1" xfId="0" applyNumberFormat="1" applyFont="1" applyFill="1" applyBorder="1" applyAlignment="1">
      <alignment horizontal="right" vertical="center"/>
    </xf>
    <xf numFmtId="179" fontId="7" fillId="6" borderId="1" xfId="0" applyNumberFormat="1" applyFont="1" applyFill="1" applyBorder="1" applyAlignment="1">
      <alignment horizontal="right" vertical="center"/>
    </xf>
    <xf numFmtId="174" fontId="7" fillId="6" borderId="1" xfId="0" applyNumberFormat="1" applyFont="1" applyFill="1" applyBorder="1" applyAlignment="1">
      <alignment horizontal="right" vertical="center"/>
    </xf>
    <xf numFmtId="0" fontId="15" fillId="6" borderId="1" xfId="0" applyFont="1" applyFill="1" applyBorder="1" applyAlignment="1">
      <alignment horizontal="right" vertical="center"/>
    </xf>
    <xf numFmtId="0" fontId="3" fillId="7" borderId="0" xfId="0" applyFont="1" applyFill="1" applyAlignment="1">
      <alignment horizontal="left" vertical="center" indent="1"/>
    </xf>
    <xf numFmtId="0" fontId="7" fillId="7" borderId="1" xfId="0" applyFont="1" applyFill="1" applyBorder="1" applyAlignment="1">
      <alignment horizontal="right" vertical="center"/>
    </xf>
    <xf numFmtId="0" fontId="0" fillId="7" borderId="0" xfId="0" applyFill="1"/>
    <xf numFmtId="173" fontId="7" fillId="7" borderId="1" xfId="0" applyNumberFormat="1" applyFont="1" applyFill="1" applyBorder="1" applyAlignment="1">
      <alignment horizontal="right" vertical="center"/>
    </xf>
    <xf numFmtId="181" fontId="7" fillId="7" borderId="1" xfId="0" applyNumberFormat="1" applyFont="1" applyFill="1" applyBorder="1" applyAlignment="1">
      <alignment horizontal="right" vertical="center"/>
    </xf>
    <xf numFmtId="182" fontId="7" fillId="7" borderId="1" xfId="0" applyNumberFormat="1" applyFont="1" applyFill="1" applyBorder="1" applyAlignment="1">
      <alignment horizontal="right" vertical="center"/>
    </xf>
    <xf numFmtId="0" fontId="5" fillId="7" borderId="0" xfId="0" applyFont="1" applyFill="1" applyAlignment="1">
      <alignment horizontal="left" vertical="center" wrapText="1" indent="1"/>
    </xf>
    <xf numFmtId="183" fontId="15" fillId="7" borderId="1" xfId="0" applyNumberFormat="1" applyFont="1" applyFill="1" applyBorder="1" applyAlignment="1">
      <alignment horizontal="right" vertical="center"/>
    </xf>
    <xf numFmtId="0" fontId="11" fillId="7" borderId="0" xfId="0" applyFont="1" applyFill="1" applyAlignment="1">
      <alignment horizontal="left" vertical="center" indent="1"/>
    </xf>
    <xf numFmtId="183" fontId="20" fillId="7" borderId="1" xfId="0" applyNumberFormat="1" applyFont="1" applyFill="1" applyBorder="1" applyAlignment="1">
      <alignment horizontal="right" vertical="center"/>
    </xf>
    <xf numFmtId="177" fontId="7" fillId="7" borderId="1" xfId="0" applyNumberFormat="1" applyFont="1" applyFill="1" applyBorder="1" applyAlignment="1">
      <alignment horizontal="right" vertical="center"/>
    </xf>
    <xf numFmtId="184" fontId="7" fillId="7" borderId="1" xfId="0" applyNumberFormat="1" applyFont="1" applyFill="1" applyBorder="1" applyAlignment="1">
      <alignment horizontal="right" vertical="center"/>
    </xf>
    <xf numFmtId="177" fontId="12" fillId="7" borderId="1" xfId="0" applyNumberFormat="1" applyFont="1" applyFill="1" applyBorder="1" applyAlignment="1">
      <alignment horizontal="right" vertical="center"/>
    </xf>
    <xf numFmtId="184" fontId="15" fillId="7" borderId="1" xfId="0" applyNumberFormat="1" applyFont="1" applyFill="1" applyBorder="1" applyAlignment="1">
      <alignment horizontal="right" vertical="center"/>
    </xf>
    <xf numFmtId="0" fontId="3" fillId="8" borderId="0" xfId="0" applyFont="1" applyFill="1" applyAlignment="1">
      <alignment horizontal="left" vertical="center" indent="1"/>
    </xf>
    <xf numFmtId="0" fontId="7" fillId="8" borderId="1" xfId="0" applyFont="1" applyFill="1" applyBorder="1" applyAlignment="1">
      <alignment horizontal="right" vertical="center"/>
    </xf>
    <xf numFmtId="0" fontId="0" fillId="8" borderId="0" xfId="0" applyFill="1"/>
    <xf numFmtId="0" fontId="5" fillId="8" borderId="0" xfId="0" applyFont="1" applyFill="1" applyAlignment="1">
      <alignment horizontal="left" vertical="center" wrapText="1" indent="1"/>
    </xf>
    <xf numFmtId="172" fontId="7" fillId="8" borderId="1" xfId="0" applyNumberFormat="1" applyFont="1" applyFill="1" applyBorder="1" applyAlignment="1">
      <alignment horizontal="right" vertical="center"/>
    </xf>
    <xf numFmtId="166" fontId="13" fillId="8" borderId="1" xfId="0" applyNumberFormat="1" applyFont="1" applyFill="1" applyBorder="1" applyAlignment="1">
      <alignment horizontal="right" vertical="center"/>
    </xf>
    <xf numFmtId="185" fontId="15" fillId="8" borderId="1" xfId="0" applyNumberFormat="1" applyFont="1" applyFill="1" applyBorder="1" applyAlignment="1">
      <alignment horizontal="right" vertical="center"/>
    </xf>
    <xf numFmtId="186" fontId="7" fillId="5" borderId="1" xfId="0" applyNumberFormat="1" applyFont="1" applyFill="1" applyBorder="1" applyAlignment="1">
      <alignment horizontal="right" vertical="center"/>
    </xf>
    <xf numFmtId="175" fontId="13" fillId="5" borderId="1" xfId="0" applyNumberFormat="1" applyFont="1" applyFill="1" applyBorder="1" applyAlignment="1">
      <alignment horizontal="right" vertical="center"/>
    </xf>
    <xf numFmtId="179" fontId="15" fillId="5" borderId="1" xfId="0" applyNumberFormat="1" applyFont="1" applyFill="1" applyBorder="1" applyAlignment="1">
      <alignment horizontal="right" vertical="center"/>
    </xf>
    <xf numFmtId="177" fontId="13" fillId="5" borderId="1" xfId="0" applyNumberFormat="1" applyFont="1" applyFill="1" applyBorder="1" applyAlignment="1">
      <alignment horizontal="right" vertical="center"/>
    </xf>
    <xf numFmtId="187" fontId="15" fillId="5" borderId="1" xfId="0" applyNumberFormat="1" applyFont="1" applyFill="1" applyBorder="1" applyAlignment="1">
      <alignment horizontal="right" vertical="center"/>
    </xf>
    <xf numFmtId="164" fontId="15" fillId="5" borderId="1" xfId="0" applyNumberFormat="1" applyFont="1" applyFill="1" applyBorder="1" applyAlignment="1">
      <alignment horizontal="right" vertical="center"/>
    </xf>
    <xf numFmtId="164" fontId="13" fillId="5" borderId="1" xfId="0" applyNumberFormat="1" applyFont="1" applyFill="1" applyBorder="1" applyAlignment="1">
      <alignment horizontal="right" vertical="center"/>
    </xf>
    <xf numFmtId="178" fontId="13" fillId="5" borderId="1" xfId="0" applyNumberFormat="1" applyFont="1" applyFill="1" applyBorder="1" applyAlignment="1">
      <alignment horizontal="right" vertical="center"/>
    </xf>
    <xf numFmtId="188" fontId="7" fillId="6" borderId="1" xfId="0" applyNumberFormat="1" applyFont="1" applyFill="1" applyBorder="1" applyAlignment="1">
      <alignment horizontal="right" vertical="center"/>
    </xf>
    <xf numFmtId="175" fontId="13" fillId="6" borderId="1" xfId="0" applyNumberFormat="1" applyFont="1" applyFill="1" applyBorder="1" applyAlignment="1">
      <alignment horizontal="right" vertical="center"/>
    </xf>
    <xf numFmtId="177" fontId="13" fillId="6" borderId="1" xfId="0" applyNumberFormat="1" applyFont="1" applyFill="1" applyBorder="1" applyAlignment="1">
      <alignment horizontal="right" vertical="center"/>
    </xf>
    <xf numFmtId="178" fontId="15" fillId="6" borderId="1" xfId="0" applyNumberFormat="1" applyFont="1" applyFill="1" applyBorder="1" applyAlignment="1">
      <alignment horizontal="right" vertical="center"/>
    </xf>
    <xf numFmtId="0" fontId="13" fillId="6" borderId="1" xfId="0" applyFont="1" applyFill="1" applyBorder="1" applyAlignment="1">
      <alignment horizontal="right" vertical="center"/>
    </xf>
    <xf numFmtId="180" fontId="13" fillId="6" borderId="1" xfId="0" applyNumberFormat="1" applyFont="1" applyFill="1" applyBorder="1" applyAlignment="1">
      <alignment horizontal="right" vertical="center"/>
    </xf>
    <xf numFmtId="174" fontId="13" fillId="6" borderId="1" xfId="0" applyNumberFormat="1" applyFont="1" applyFill="1" applyBorder="1" applyAlignment="1">
      <alignment horizontal="right" vertical="center"/>
    </xf>
    <xf numFmtId="179" fontId="13" fillId="6" borderId="1" xfId="0" applyNumberFormat="1" applyFont="1" applyFill="1" applyBorder="1" applyAlignment="1">
      <alignment horizontal="right" vertical="center"/>
    </xf>
    <xf numFmtId="164" fontId="15" fillId="6" borderId="1" xfId="0" applyNumberFormat="1" applyFont="1" applyFill="1" applyBorder="1" applyAlignment="1">
      <alignment horizontal="right" vertical="center"/>
    </xf>
    <xf numFmtId="0" fontId="12" fillId="6" borderId="1" xfId="0" applyFont="1" applyFill="1" applyBorder="1" applyAlignment="1">
      <alignment horizontal="right" vertical="center"/>
    </xf>
    <xf numFmtId="175" fontId="15" fillId="5" borderId="1" xfId="0" applyNumberFormat="1" applyFont="1" applyFill="1" applyBorder="1" applyAlignment="1">
      <alignment horizontal="right" vertical="center"/>
    </xf>
    <xf numFmtId="171" fontId="13" fillId="5" borderId="1" xfId="0" applyNumberFormat="1" applyFont="1" applyFill="1" applyBorder="1" applyAlignment="1">
      <alignment horizontal="right" vertical="center"/>
    </xf>
    <xf numFmtId="175" fontId="18" fillId="5" borderId="1" xfId="0" applyNumberFormat="1" applyFont="1" applyFill="1" applyBorder="1" applyAlignment="1">
      <alignment horizontal="right" vertical="center"/>
    </xf>
    <xf numFmtId="0" fontId="21" fillId="5" borderId="0" xfId="0" applyFont="1" applyFill="1" applyAlignment="1">
      <alignment horizontal="left" vertical="center" indent="1"/>
    </xf>
    <xf numFmtId="177" fontId="21" fillId="5" borderId="1" xfId="0" applyNumberFormat="1" applyFont="1" applyFill="1" applyBorder="1" applyAlignment="1">
      <alignment horizontal="right" vertical="center"/>
    </xf>
    <xf numFmtId="189" fontId="13" fillId="5" borderId="1" xfId="0" applyNumberFormat="1" applyFont="1" applyFill="1" applyBorder="1" applyAlignment="1">
      <alignment horizontal="right" vertical="center"/>
    </xf>
    <xf numFmtId="189" fontId="15" fillId="5" borderId="1" xfId="0" applyNumberFormat="1" applyFont="1" applyFill="1" applyBorder="1" applyAlignment="1">
      <alignment horizontal="right" vertical="center"/>
    </xf>
    <xf numFmtId="184" fontId="13" fillId="5" borderId="1" xfId="0" applyNumberFormat="1" applyFont="1" applyFill="1" applyBorder="1" applyAlignment="1">
      <alignment horizontal="right" vertical="center"/>
    </xf>
    <xf numFmtId="177" fontId="15" fillId="5" borderId="1" xfId="0" applyNumberFormat="1" applyFont="1" applyFill="1" applyBorder="1" applyAlignment="1">
      <alignment horizontal="right" vertical="center"/>
    </xf>
    <xf numFmtId="190" fontId="15" fillId="5" borderId="1" xfId="0" applyNumberFormat="1" applyFont="1" applyFill="1" applyBorder="1" applyAlignment="1">
      <alignment horizontal="right" vertical="center"/>
    </xf>
    <xf numFmtId="190" fontId="12" fillId="5" borderId="1" xfId="0" applyNumberFormat="1" applyFont="1" applyFill="1" applyBorder="1" applyAlignment="1">
      <alignment horizontal="right" vertical="center"/>
    </xf>
    <xf numFmtId="191" fontId="15" fillId="5" borderId="1" xfId="0" applyNumberFormat="1" applyFont="1" applyFill="1" applyBorder="1" applyAlignment="1">
      <alignment horizontal="right" vertical="center"/>
    </xf>
    <xf numFmtId="179" fontId="13" fillId="5" borderId="1" xfId="0" applyNumberFormat="1" applyFont="1" applyFill="1" applyBorder="1" applyAlignment="1">
      <alignment horizontal="right" vertical="center"/>
    </xf>
    <xf numFmtId="192" fontId="20" fillId="5" borderId="1" xfId="0" applyNumberFormat="1" applyFont="1" applyFill="1" applyBorder="1" applyAlignment="1">
      <alignment horizontal="right" vertical="center"/>
    </xf>
    <xf numFmtId="164" fontId="12" fillId="5" borderId="1" xfId="0" applyNumberFormat="1" applyFont="1" applyFill="1" applyBorder="1" applyAlignment="1">
      <alignment horizontal="right" vertical="center"/>
    </xf>
    <xf numFmtId="193" fontId="13" fillId="5" borderId="1" xfId="0" applyNumberFormat="1" applyFont="1" applyFill="1" applyBorder="1" applyAlignment="1">
      <alignment horizontal="right" vertical="center"/>
    </xf>
    <xf numFmtId="190" fontId="20" fillId="5" borderId="1" xfId="0" applyNumberFormat="1" applyFont="1" applyFill="1" applyBorder="1" applyAlignment="1">
      <alignment horizontal="right" vertical="center"/>
    </xf>
    <xf numFmtId="190" fontId="13" fillId="5" borderId="1" xfId="0" applyNumberFormat="1" applyFont="1" applyFill="1" applyBorder="1" applyAlignment="1">
      <alignment horizontal="right" vertical="center"/>
    </xf>
    <xf numFmtId="0" fontId="22" fillId="5" borderId="0" xfId="0" applyFont="1" applyFill="1" applyAlignment="1">
      <alignment horizontal="left" vertical="center" indent="1"/>
    </xf>
    <xf numFmtId="190" fontId="22" fillId="5" borderId="1" xfId="0" applyNumberFormat="1" applyFont="1" applyFill="1" applyBorder="1" applyAlignment="1">
      <alignment horizontal="right" vertical="center"/>
    </xf>
    <xf numFmtId="194" fontId="21" fillId="5" borderId="1" xfId="0" applyNumberFormat="1" applyFont="1" applyFill="1" applyBorder="1" applyAlignment="1">
      <alignment horizontal="right" vertical="center"/>
    </xf>
    <xf numFmtId="0" fontId="9" fillId="5" borderId="0" xfId="0" applyFont="1" applyFill="1" applyAlignment="1">
      <alignment horizontal="left" vertical="center" wrapText="1" indent="1"/>
    </xf>
    <xf numFmtId="164" fontId="13" fillId="6" borderId="1" xfId="0" applyNumberFormat="1" applyFont="1" applyFill="1" applyBorder="1" applyAlignment="1">
      <alignment horizontal="right" vertical="center"/>
    </xf>
    <xf numFmtId="175" fontId="15" fillId="6" borderId="1" xfId="0" applyNumberFormat="1" applyFont="1" applyFill="1" applyBorder="1" applyAlignment="1">
      <alignment horizontal="right" vertical="center"/>
    </xf>
    <xf numFmtId="177" fontId="12" fillId="6" borderId="1" xfId="0" applyNumberFormat="1" applyFont="1" applyFill="1" applyBorder="1" applyAlignment="1">
      <alignment horizontal="right" vertical="center"/>
    </xf>
    <xf numFmtId="0" fontId="0" fillId="0" borderId="0" xfId="0" applyAlignment="1">
      <alignment wrapText="1"/>
    </xf>
    <xf numFmtId="0" fontId="5" fillId="6" borderId="0" xfId="0" applyFont="1" applyFill="1" applyAlignment="1">
      <alignment horizontal="left" vertical="center" wrapText="1"/>
    </xf>
    <xf numFmtId="0" fontId="0" fillId="6" borderId="0" xfId="0" applyFill="1" applyAlignment="1">
      <alignment wrapText="1"/>
    </xf>
    <xf numFmtId="189" fontId="13" fillId="6" borderId="1" xfId="0" applyNumberFormat="1" applyFont="1" applyFill="1" applyBorder="1" applyAlignment="1">
      <alignment horizontal="right" vertical="center"/>
    </xf>
    <xf numFmtId="189" fontId="15" fillId="6" borderId="1" xfId="0" applyNumberFormat="1" applyFont="1" applyFill="1" applyBorder="1" applyAlignment="1">
      <alignment horizontal="right" vertical="center"/>
    </xf>
    <xf numFmtId="184" fontId="13" fillId="6" borderId="1" xfId="0" applyNumberFormat="1" applyFont="1" applyFill="1" applyBorder="1" applyAlignment="1">
      <alignment horizontal="right" vertical="center"/>
    </xf>
    <xf numFmtId="190" fontId="15" fillId="6" borderId="1" xfId="0" applyNumberFormat="1" applyFont="1" applyFill="1" applyBorder="1" applyAlignment="1">
      <alignment horizontal="right" vertical="center"/>
    </xf>
    <xf numFmtId="190" fontId="12" fillId="6" borderId="1" xfId="0" applyNumberFormat="1" applyFont="1" applyFill="1" applyBorder="1" applyAlignment="1">
      <alignment horizontal="right" vertical="center"/>
    </xf>
    <xf numFmtId="191" fontId="15" fillId="6" borderId="1" xfId="0" applyNumberFormat="1" applyFont="1" applyFill="1" applyBorder="1" applyAlignment="1">
      <alignment horizontal="right" vertical="center"/>
    </xf>
    <xf numFmtId="192" fontId="20" fillId="6" borderId="1" xfId="0" applyNumberFormat="1" applyFont="1" applyFill="1" applyBorder="1" applyAlignment="1">
      <alignment horizontal="right" vertical="center"/>
    </xf>
    <xf numFmtId="164" fontId="12" fillId="6" borderId="1" xfId="0" applyNumberFormat="1" applyFont="1" applyFill="1" applyBorder="1" applyAlignment="1">
      <alignment horizontal="right" vertical="center"/>
    </xf>
    <xf numFmtId="193" fontId="13" fillId="6" borderId="1" xfId="0" applyNumberFormat="1" applyFont="1" applyFill="1" applyBorder="1" applyAlignment="1">
      <alignment horizontal="right" vertical="center"/>
    </xf>
    <xf numFmtId="190" fontId="20" fillId="6" borderId="1" xfId="0" applyNumberFormat="1" applyFont="1" applyFill="1" applyBorder="1" applyAlignment="1">
      <alignment horizontal="right" vertical="center"/>
    </xf>
    <xf numFmtId="190" fontId="13" fillId="6" borderId="1" xfId="0" applyNumberFormat="1" applyFont="1" applyFill="1" applyBorder="1" applyAlignment="1">
      <alignment horizontal="right" vertical="center"/>
    </xf>
    <xf numFmtId="0" fontId="22" fillId="6" borderId="0" xfId="0" applyFont="1" applyFill="1" applyAlignment="1">
      <alignment horizontal="left" vertical="center" indent="1"/>
    </xf>
    <xf numFmtId="190" fontId="22" fillId="6" borderId="1" xfId="0" applyNumberFormat="1" applyFont="1" applyFill="1" applyBorder="1" applyAlignment="1">
      <alignment horizontal="right" vertical="center"/>
    </xf>
    <xf numFmtId="0" fontId="21" fillId="6" borderId="0" xfId="0" applyFont="1" applyFill="1" applyAlignment="1">
      <alignment horizontal="left" vertical="center" indent="1"/>
    </xf>
    <xf numFmtId="194" fontId="21" fillId="6" borderId="1" xfId="0" applyNumberFormat="1" applyFont="1" applyFill="1" applyBorder="1" applyAlignment="1">
      <alignment horizontal="right" vertical="center"/>
    </xf>
    <xf numFmtId="0" fontId="9" fillId="6" borderId="0" xfId="0" applyFont="1" applyFill="1" applyAlignment="1">
      <alignment horizontal="left" vertical="center" wrapText="1" indent="1"/>
    </xf>
    <xf numFmtId="0" fontId="24" fillId="2" borderId="0" xfId="0" applyFont="1" applyFill="1" applyAlignment="1">
      <alignment horizontal="left" vertical="center" indent="1"/>
    </xf>
    <xf numFmtId="0" fontId="24" fillId="12" borderId="0" xfId="0" applyFont="1" applyFill="1" applyAlignment="1">
      <alignment horizontal="center" vertical="center"/>
    </xf>
    <xf numFmtId="0" fontId="24" fillId="13" borderId="0" xfId="0" applyFont="1" applyFill="1" applyAlignment="1">
      <alignment horizontal="center" vertical="center"/>
    </xf>
    <xf numFmtId="0" fontId="24" fillId="2" borderId="0" xfId="0" applyFont="1" applyFill="1" applyAlignment="1">
      <alignment horizontal="center" vertical="center"/>
    </xf>
    <xf numFmtId="178" fontId="13" fillId="6" borderId="1" xfId="0" applyNumberFormat="1" applyFont="1" applyFill="1" applyBorder="1" applyAlignment="1">
      <alignment horizontal="right" vertical="center"/>
    </xf>
    <xf numFmtId="0" fontId="11" fillId="0" borderId="0" xfId="0" applyFont="1" applyAlignment="1">
      <alignment horizontal="left" vertical="center" indent="1"/>
    </xf>
    <xf numFmtId="0" fontId="3" fillId="0" borderId="0" xfId="0" applyFont="1" applyAlignment="1">
      <alignment horizontal="left" vertical="center" indent="2"/>
    </xf>
    <xf numFmtId="0" fontId="22" fillId="0" borderId="0" xfId="0" applyFont="1" applyAlignment="1">
      <alignment horizontal="left" vertical="center" indent="2"/>
    </xf>
    <xf numFmtId="190" fontId="8" fillId="5" borderId="1" xfId="0" applyNumberFormat="1" applyFont="1" applyFill="1" applyBorder="1" applyAlignment="1">
      <alignment horizontal="right" vertical="center"/>
    </xf>
    <xf numFmtId="0" fontId="22" fillId="6" borderId="1" xfId="0" applyFont="1" applyFill="1" applyBorder="1" applyAlignment="1">
      <alignment horizontal="right" vertical="center"/>
    </xf>
    <xf numFmtId="195" fontId="13" fillId="5" borderId="1" xfId="0" applyNumberFormat="1" applyFont="1" applyFill="1" applyBorder="1" applyAlignment="1">
      <alignment horizontal="right" vertical="center"/>
    </xf>
    <xf numFmtId="195" fontId="13" fillId="6" borderId="1" xfId="0" applyNumberFormat="1" applyFont="1" applyFill="1" applyBorder="1" applyAlignment="1">
      <alignment horizontal="right" vertical="center"/>
    </xf>
    <xf numFmtId="194" fontId="25" fillId="5" borderId="1" xfId="0" applyNumberFormat="1" applyFont="1" applyFill="1" applyBorder="1" applyAlignment="1">
      <alignment horizontal="right" vertical="center"/>
    </xf>
    <xf numFmtId="194" fontId="25" fillId="6" borderId="1" xfId="0" applyNumberFormat="1" applyFont="1" applyFill="1" applyBorder="1" applyAlignment="1">
      <alignment horizontal="right" vertical="center"/>
    </xf>
    <xf numFmtId="0" fontId="20" fillId="5" borderId="1" xfId="0" applyFont="1" applyFill="1" applyBorder="1" applyAlignment="1">
      <alignment horizontal="right" vertical="center"/>
    </xf>
    <xf numFmtId="0" fontId="15" fillId="5" borderId="1" xfId="0" applyFont="1" applyFill="1" applyBorder="1" applyAlignment="1">
      <alignment horizontal="right" vertical="center"/>
    </xf>
    <xf numFmtId="0" fontId="20" fillId="6" borderId="1" xfId="0" applyFont="1" applyFill="1" applyBorder="1" applyAlignment="1">
      <alignment horizontal="right" vertical="center"/>
    </xf>
    <xf numFmtId="187" fontId="13" fillId="5" borderId="1" xfId="0" applyNumberFormat="1" applyFont="1" applyFill="1" applyBorder="1" applyAlignment="1">
      <alignment horizontal="right" vertical="center"/>
    </xf>
    <xf numFmtId="0" fontId="21" fillId="0" borderId="0" xfId="0" applyFont="1" applyAlignment="1">
      <alignment horizontal="left" vertical="center" indent="1"/>
    </xf>
    <xf numFmtId="187" fontId="13" fillId="6" borderId="1" xfId="0" applyNumberFormat="1" applyFont="1" applyFill="1" applyBorder="1" applyAlignment="1">
      <alignment horizontal="right" vertical="center"/>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16" fillId="3" borderId="0" xfId="0" applyFont="1" applyFill="1" applyAlignment="1">
      <alignment horizontal="left" vertical="center" indent="1"/>
    </xf>
    <xf numFmtId="0" fontId="6" fillId="0" borderId="0" xfId="0" applyFont="1" applyAlignment="1">
      <alignment horizontal="center" vertical="center" wrapText="1"/>
    </xf>
    <xf numFmtId="0" fontId="2" fillId="10" borderId="0" xfId="0" applyFont="1" applyFill="1" applyAlignment="1">
      <alignment horizontal="left" vertical="center" indent="1"/>
    </xf>
    <xf numFmtId="0" fontId="2" fillId="9" borderId="0" xfId="0" applyFont="1" applyFill="1" applyAlignment="1">
      <alignment horizontal="left" vertical="center" indent="1"/>
    </xf>
    <xf numFmtId="0" fontId="23" fillId="11"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CEFF1"/>
      <rgbColor rgb="FF888888"/>
      <rgbColor rgb="FF9999FF"/>
      <rgbColor rgb="FF993366"/>
      <rgbColor rgb="FFFFFFCC"/>
      <rgbColor rgb="FFE3F2FD"/>
      <rgbColor rgb="FF660066"/>
      <rgbColor rgb="FFFF8080"/>
      <rgbColor rgb="FF1565C0"/>
      <rgbColor rgb="FFBBDEFB"/>
      <rgbColor rgb="FF000080"/>
      <rgbColor rgb="FFFF00FF"/>
      <rgbColor rgb="FFFFFF00"/>
      <rgbColor rgb="FF00FFFF"/>
      <rgbColor rgb="FF800080"/>
      <rgbColor rgb="FF800000"/>
      <rgbColor rgb="FF008080"/>
      <rgbColor rgb="FF0000FF"/>
      <rgbColor rgb="FF00CCFF"/>
      <rgbColor rgb="FFE8F5E9"/>
      <rgbColor rgb="FFC8E6C9"/>
      <rgbColor rgb="FFFFF8E1"/>
      <rgbColor rgb="FFF5F5F5"/>
      <rgbColor rgb="FFFF99CC"/>
      <rgbColor rgb="FFCC99FF"/>
      <rgbColor rgb="FFFFE0B2"/>
      <rgbColor rgb="FF558ED5"/>
      <rgbColor rgb="FF33CCCC"/>
      <rgbColor rgb="FF99CC00"/>
      <rgbColor rgb="FFFFCC00"/>
      <rgbColor rgb="FFFF9900"/>
      <rgbColor rgb="FFFF6600"/>
      <rgbColor rgb="FF616161"/>
      <rgbColor rgb="FF969696"/>
      <rgbColor rgb="FF0D47A1"/>
      <rgbColor rgb="FF2E7D32"/>
      <rgbColor rgb="FF003300"/>
      <rgbColor rgb="FF333300"/>
      <rgbColor rgb="FF993300"/>
      <rgbColor rgb="FF993366"/>
      <rgbColor rgb="FF333399"/>
      <rgbColor rgb="FF37474F"/>
      <rgbColor rgb="00003366"/>
      <rgbColor rgb="00339966"/>
      <rgbColor rgb="00003300"/>
      <rgbColor rgb="00333300"/>
      <rgbColor rgb="00993300"/>
      <rgbColor rgb="00993366"/>
      <rgbColor rgb="00333399"/>
      <rgbColor rgb="00333333"/>
    </indexedColors>
    <mruColors>
      <color rgb="FFE3F2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showGridLines="0" topLeftCell="A4" zoomScale="130" zoomScaleNormal="130" workbookViewId="0">
      <selection activeCell="F12" sqref="F12"/>
    </sheetView>
  </sheetViews>
  <sheetFormatPr baseColWidth="10" defaultColWidth="8.6640625" defaultRowHeight="15" x14ac:dyDescent="0.2"/>
  <cols>
    <col min="1" max="1" width="4" customWidth="1"/>
    <col min="2" max="2" width="38" customWidth="1"/>
    <col min="3" max="4" width="18" customWidth="1"/>
    <col min="5" max="5" width="70" customWidth="1"/>
    <col min="6" max="6" width="69" customWidth="1"/>
  </cols>
  <sheetData>
    <row r="1" spans="1:6" ht="21.75" customHeight="1" x14ac:dyDescent="0.2">
      <c r="A1" s="166" t="s">
        <v>0</v>
      </c>
      <c r="B1" s="166"/>
      <c r="C1" s="166"/>
      <c r="D1" s="166"/>
      <c r="E1" s="166"/>
    </row>
    <row r="3" spans="1:6" ht="18" customHeight="1" x14ac:dyDescent="0.2">
      <c r="A3" s="165" t="s">
        <v>1</v>
      </c>
      <c r="B3" s="165"/>
      <c r="C3" s="165"/>
      <c r="D3" s="165"/>
      <c r="E3" s="165"/>
      <c r="F3" t="s">
        <v>2</v>
      </c>
    </row>
    <row r="4" spans="1:6" ht="18" customHeight="1" x14ac:dyDescent="0.2">
      <c r="B4" s="3" t="s">
        <v>3</v>
      </c>
      <c r="C4" s="4">
        <v>0.75</v>
      </c>
      <c r="E4" s="5" t="s">
        <v>4</v>
      </c>
      <c r="F4" s="6" t="s">
        <v>5</v>
      </c>
    </row>
    <row r="5" spans="1:6" ht="18" customHeight="1" x14ac:dyDescent="0.2">
      <c r="B5" s="3" t="s">
        <v>6</v>
      </c>
      <c r="C5" s="4">
        <v>0.4</v>
      </c>
      <c r="E5" s="5" t="s">
        <v>7</v>
      </c>
      <c r="F5" s="6" t="s">
        <v>5</v>
      </c>
    </row>
    <row r="6" spans="1:6" ht="18" customHeight="1" x14ac:dyDescent="0.2">
      <c r="B6" s="3" t="s">
        <v>8</v>
      </c>
      <c r="C6" s="4">
        <v>0.25</v>
      </c>
      <c r="E6" s="5" t="s">
        <v>9</v>
      </c>
      <c r="F6" s="6" t="s">
        <v>5</v>
      </c>
    </row>
    <row r="7" spans="1:6" ht="18" customHeight="1" x14ac:dyDescent="0.2">
      <c r="B7" s="3" t="s">
        <v>10</v>
      </c>
      <c r="C7" s="4">
        <v>0.85</v>
      </c>
      <c r="E7" s="5" t="s">
        <v>11</v>
      </c>
      <c r="F7" s="6" t="s">
        <v>5</v>
      </c>
    </row>
    <row r="8" spans="1:6" ht="18" customHeight="1" x14ac:dyDescent="0.2">
      <c r="F8" s="5"/>
    </row>
    <row r="9" spans="1:6" ht="18" customHeight="1" x14ac:dyDescent="0.2">
      <c r="A9" s="165" t="s">
        <v>12</v>
      </c>
      <c r="B9" s="165"/>
      <c r="C9" s="165"/>
      <c r="D9" s="165"/>
      <c r="E9" s="165"/>
    </row>
    <row r="10" spans="1:6" ht="18" customHeight="1" x14ac:dyDescent="0.2">
      <c r="B10" s="3" t="s">
        <v>13</v>
      </c>
      <c r="C10" s="7">
        <v>3.5999999999999999E-3</v>
      </c>
      <c r="E10" s="5" t="s">
        <v>14</v>
      </c>
      <c r="F10" s="6" t="s">
        <v>5</v>
      </c>
    </row>
    <row r="11" spans="1:6" ht="18" customHeight="1" x14ac:dyDescent="0.2">
      <c r="B11" s="3" t="s">
        <v>15</v>
      </c>
      <c r="C11" s="8">
        <v>1.1100000000000001</v>
      </c>
      <c r="E11" s="5" t="s">
        <v>16</v>
      </c>
      <c r="F11" s="6" t="s">
        <v>5</v>
      </c>
    </row>
    <row r="12" spans="1:6" ht="18" customHeight="1" x14ac:dyDescent="0.2">
      <c r="B12" s="3" t="s">
        <v>17</v>
      </c>
      <c r="C12" s="9">
        <f>'2. Factura CFE sep24'!C10*24</f>
        <v>720</v>
      </c>
      <c r="E12" s="10" t="s">
        <v>18</v>
      </c>
      <c r="F12" s="6" t="s">
        <v>19</v>
      </c>
    </row>
    <row r="13" spans="1:6" ht="18" customHeight="1" x14ac:dyDescent="0.2">
      <c r="B13" s="3" t="s">
        <v>20</v>
      </c>
      <c r="C13" s="11">
        <v>0.56999999999999995</v>
      </c>
      <c r="E13" s="5" t="s">
        <v>21</v>
      </c>
      <c r="F13" s="6" t="s">
        <v>5</v>
      </c>
    </row>
    <row r="14" spans="1:6" ht="18" customHeight="1" x14ac:dyDescent="0.2">
      <c r="F14" s="6"/>
    </row>
    <row r="15" spans="1:6" ht="18" customHeight="1" x14ac:dyDescent="0.2">
      <c r="A15" s="165" t="s">
        <v>22</v>
      </c>
      <c r="B15" s="165"/>
      <c r="C15" s="165"/>
      <c r="D15" s="165"/>
      <c r="E15" s="165"/>
      <c r="F15" s="6"/>
    </row>
    <row r="16" spans="1:6" ht="18" customHeight="1" x14ac:dyDescent="0.2">
      <c r="B16" s="3" t="s">
        <v>23</v>
      </c>
      <c r="C16" s="12">
        <v>1400</v>
      </c>
      <c r="E16" s="5" t="s">
        <v>24</v>
      </c>
      <c r="F16" s="6" t="s">
        <v>5</v>
      </c>
    </row>
    <row r="17" spans="1:6" ht="18" customHeight="1" x14ac:dyDescent="0.2">
      <c r="B17" s="3" t="s">
        <v>25</v>
      </c>
      <c r="C17" s="13">
        <v>17.5</v>
      </c>
      <c r="E17" s="5" t="s">
        <v>26</v>
      </c>
      <c r="F17" s="6" t="s">
        <v>5</v>
      </c>
    </row>
    <row r="18" spans="1:6" ht="18" customHeight="1" x14ac:dyDescent="0.2">
      <c r="B18" s="3" t="s">
        <v>27</v>
      </c>
      <c r="C18" s="14">
        <v>0.3</v>
      </c>
      <c r="E18" s="5" t="s">
        <v>28</v>
      </c>
      <c r="F18" s="6" t="s">
        <v>5</v>
      </c>
    </row>
    <row r="19" spans="1:6" ht="18" customHeight="1" x14ac:dyDescent="0.2">
      <c r="B19" s="3" t="s">
        <v>29</v>
      </c>
      <c r="C19" s="15">
        <v>15</v>
      </c>
      <c r="E19" s="5" t="s">
        <v>30</v>
      </c>
      <c r="F19" s="6" t="s">
        <v>5</v>
      </c>
    </row>
    <row r="20" spans="1:6" ht="18" customHeight="1" x14ac:dyDescent="0.2">
      <c r="F20" s="6"/>
    </row>
    <row r="21" spans="1:6" ht="18" customHeight="1" x14ac:dyDescent="0.2">
      <c r="A21" s="165" t="s">
        <v>31</v>
      </c>
      <c r="B21" s="165"/>
      <c r="C21" s="165"/>
      <c r="D21" s="165"/>
      <c r="E21" s="165"/>
      <c r="F21" s="6"/>
    </row>
    <row r="22" spans="1:6" ht="18" customHeight="1" x14ac:dyDescent="0.2">
      <c r="B22" s="3" t="s">
        <v>32</v>
      </c>
      <c r="C22" s="16">
        <v>0.3</v>
      </c>
      <c r="E22" s="5" t="s">
        <v>33</v>
      </c>
      <c r="F22" s="6" t="s">
        <v>5</v>
      </c>
    </row>
    <row r="23" spans="1:6" ht="18" customHeight="1" x14ac:dyDescent="0.2">
      <c r="F23" s="6"/>
    </row>
    <row r="24" spans="1:6" ht="18" customHeight="1" x14ac:dyDescent="0.2">
      <c r="A24" s="165" t="s">
        <v>34</v>
      </c>
      <c r="B24" s="165"/>
      <c r="C24" s="165"/>
      <c r="D24" s="165"/>
      <c r="E24" s="165"/>
      <c r="F24" s="6"/>
    </row>
    <row r="25" spans="1:6" ht="18" customHeight="1" x14ac:dyDescent="0.2">
      <c r="B25" s="3" t="s">
        <v>35</v>
      </c>
      <c r="C25" s="17">
        <v>0.82</v>
      </c>
      <c r="E25" s="5" t="s">
        <v>36</v>
      </c>
      <c r="F25" s="6" t="s">
        <v>5</v>
      </c>
    </row>
    <row r="26" spans="1:6" ht="18" customHeight="1" x14ac:dyDescent="0.2">
      <c r="B26" s="3" t="s">
        <v>37</v>
      </c>
      <c r="C26" s="8">
        <v>0.94</v>
      </c>
      <c r="E26" s="5" t="s">
        <v>38</v>
      </c>
      <c r="F26" s="6" t="s">
        <v>5</v>
      </c>
    </row>
    <row r="27" spans="1:6" ht="18" customHeight="1" x14ac:dyDescent="0.2">
      <c r="B27" s="3" t="s">
        <v>39</v>
      </c>
      <c r="C27" s="8">
        <v>0.44</v>
      </c>
      <c r="E27" s="5" t="s">
        <v>40</v>
      </c>
      <c r="F27" s="6" t="s">
        <v>5</v>
      </c>
    </row>
    <row r="28" spans="1:6" ht="18" customHeight="1" x14ac:dyDescent="0.2">
      <c r="B28" s="3" t="s">
        <v>41</v>
      </c>
      <c r="C28" s="18">
        <v>1721</v>
      </c>
      <c r="E28" s="5" t="s">
        <v>42</v>
      </c>
      <c r="F28" s="6" t="s">
        <v>5</v>
      </c>
    </row>
  </sheetData>
  <mergeCells count="6">
    <mergeCell ref="A24:E24"/>
    <mergeCell ref="A1:E1"/>
    <mergeCell ref="A3:E3"/>
    <mergeCell ref="A9:E9"/>
    <mergeCell ref="A15:E15"/>
    <mergeCell ref="A21:E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3"/>
  <sheetViews>
    <sheetView showGridLines="0" topLeftCell="A43" zoomScale="125" zoomScaleNormal="125" workbookViewId="0">
      <selection activeCell="E70" sqref="E70"/>
    </sheetView>
  </sheetViews>
  <sheetFormatPr baseColWidth="10" defaultColWidth="8.6640625" defaultRowHeight="15" x14ac:dyDescent="0.2"/>
  <cols>
    <col min="1" max="1" width="4" customWidth="1"/>
    <col min="2" max="2" width="38" customWidth="1"/>
    <col min="3" max="4" width="18" customWidth="1"/>
    <col min="5" max="5" width="70" customWidth="1"/>
    <col min="6" max="6" width="69" customWidth="1"/>
  </cols>
  <sheetData>
    <row r="1" spans="1:6" ht="21.75" customHeight="1" x14ac:dyDescent="0.2">
      <c r="A1" s="166" t="s">
        <v>43</v>
      </c>
      <c r="B1" s="166"/>
      <c r="C1" s="166"/>
      <c r="D1" s="166"/>
      <c r="E1" s="166"/>
    </row>
    <row r="3" spans="1:6" ht="18" customHeight="1" x14ac:dyDescent="0.2">
      <c r="A3" s="165" t="s">
        <v>44</v>
      </c>
      <c r="B3" s="165"/>
      <c r="C3" s="165"/>
      <c r="D3" s="165"/>
      <c r="E3" s="165"/>
    </row>
    <row r="4" spans="1:6" ht="18" customHeight="1" x14ac:dyDescent="0.2">
      <c r="B4" s="19" t="s">
        <v>45</v>
      </c>
      <c r="C4" s="20" t="s">
        <v>46</v>
      </c>
      <c r="D4" s="21"/>
      <c r="E4" s="22" t="s">
        <v>47</v>
      </c>
      <c r="F4" s="6"/>
    </row>
    <row r="5" spans="1:6" ht="18" customHeight="1" x14ac:dyDescent="0.2">
      <c r="B5" s="19" t="s">
        <v>48</v>
      </c>
      <c r="C5" s="20" t="s">
        <v>49</v>
      </c>
      <c r="D5" s="21"/>
      <c r="E5" s="21"/>
      <c r="F5" s="6"/>
    </row>
    <row r="6" spans="1:6" ht="18" customHeight="1" x14ac:dyDescent="0.2">
      <c r="B6" s="19" t="s">
        <v>50</v>
      </c>
      <c r="C6" s="20" t="s">
        <v>51</v>
      </c>
      <c r="D6" s="21"/>
      <c r="E6" s="21"/>
      <c r="F6" s="6"/>
    </row>
    <row r="7" spans="1:6" ht="18" customHeight="1" x14ac:dyDescent="0.2">
      <c r="B7" s="19" t="s">
        <v>52</v>
      </c>
      <c r="C7" s="20" t="s">
        <v>53</v>
      </c>
      <c r="D7" s="21"/>
      <c r="E7" s="21"/>
      <c r="F7" s="6"/>
    </row>
    <row r="8" spans="1:6" ht="18" customHeight="1" x14ac:dyDescent="0.2">
      <c r="B8" s="19" t="s">
        <v>54</v>
      </c>
      <c r="C8" s="23">
        <v>2800</v>
      </c>
      <c r="D8" s="21"/>
      <c r="E8" s="22" t="s">
        <v>55</v>
      </c>
      <c r="F8" s="5"/>
    </row>
    <row r="9" spans="1:6" ht="18" customHeight="1" x14ac:dyDescent="0.2">
      <c r="B9" s="19" t="s">
        <v>56</v>
      </c>
      <c r="C9" s="20" t="s">
        <v>57</v>
      </c>
      <c r="D9" s="21"/>
      <c r="E9" s="21"/>
    </row>
    <row r="10" spans="1:6" ht="18" customHeight="1" x14ac:dyDescent="0.2">
      <c r="B10" s="19" t="s">
        <v>58</v>
      </c>
      <c r="C10" s="24">
        <v>30</v>
      </c>
      <c r="D10" s="21"/>
      <c r="E10" s="21"/>
      <c r="F10" s="6"/>
    </row>
    <row r="11" spans="1:6" ht="18" customHeight="1" x14ac:dyDescent="0.2">
      <c r="B11" s="19" t="s">
        <v>59</v>
      </c>
      <c r="C11" s="25">
        <v>3200</v>
      </c>
      <c r="D11" s="21"/>
      <c r="E11" s="21"/>
      <c r="F11" s="6"/>
    </row>
    <row r="12" spans="1:6" ht="18" customHeight="1" x14ac:dyDescent="0.2">
      <c r="B12" s="19" t="s">
        <v>60</v>
      </c>
      <c r="C12" s="25">
        <v>3200</v>
      </c>
      <c r="D12" s="21"/>
      <c r="E12" s="21"/>
      <c r="F12" s="6"/>
    </row>
    <row r="13" spans="1:6" ht="18" customHeight="1" x14ac:dyDescent="0.2">
      <c r="B13" s="21"/>
      <c r="C13" s="21"/>
      <c r="D13" s="21"/>
      <c r="E13" s="21"/>
      <c r="F13" s="6"/>
    </row>
    <row r="14" spans="1:6" ht="18" customHeight="1" x14ac:dyDescent="0.2">
      <c r="A14" s="165" t="s">
        <v>61</v>
      </c>
      <c r="B14" s="165"/>
      <c r="C14" s="165"/>
      <c r="D14" s="165"/>
      <c r="E14" s="165"/>
      <c r="F14" s="6"/>
    </row>
    <row r="15" spans="1:6" ht="18" customHeight="1" x14ac:dyDescent="0.2">
      <c r="B15" s="19" t="s">
        <v>62</v>
      </c>
      <c r="C15" s="26">
        <v>408800</v>
      </c>
      <c r="D15" s="21"/>
      <c r="E15" s="21"/>
      <c r="F15" s="6"/>
    </row>
    <row r="16" spans="1:6" ht="18" customHeight="1" x14ac:dyDescent="0.2">
      <c r="B16" s="19" t="s">
        <v>63</v>
      </c>
      <c r="C16" s="26">
        <v>630000</v>
      </c>
      <c r="D16" s="21"/>
      <c r="E16" s="21"/>
      <c r="F16" s="6"/>
    </row>
    <row r="17" spans="1:6" ht="18" customHeight="1" x14ac:dyDescent="0.2">
      <c r="B17" s="19" t="s">
        <v>64</v>
      </c>
      <c r="C17" s="26">
        <v>61600</v>
      </c>
      <c r="D17" s="21"/>
      <c r="E17" s="21"/>
      <c r="F17" s="6"/>
    </row>
    <row r="18" spans="1:6" ht="18" customHeight="1" x14ac:dyDescent="0.2">
      <c r="B18" s="27" t="s">
        <v>65</v>
      </c>
      <c r="C18" s="28">
        <f>C15+C16+C17</f>
        <v>1100400</v>
      </c>
      <c r="D18" s="21"/>
      <c r="E18" s="22" t="s">
        <v>66</v>
      </c>
      <c r="F18" s="6"/>
    </row>
    <row r="19" spans="1:6" ht="18" customHeight="1" x14ac:dyDescent="0.2">
      <c r="B19" s="21"/>
      <c r="C19" s="21"/>
      <c r="D19" s="21"/>
      <c r="E19" s="21"/>
      <c r="F19" s="6"/>
    </row>
    <row r="20" spans="1:6" ht="18" customHeight="1" x14ac:dyDescent="0.2">
      <c r="A20" s="165" t="s">
        <v>67</v>
      </c>
      <c r="B20" s="165"/>
      <c r="C20" s="165"/>
      <c r="D20" s="165"/>
      <c r="E20" s="165"/>
      <c r="F20" s="6"/>
    </row>
    <row r="21" spans="1:6" ht="18" customHeight="1" x14ac:dyDescent="0.2">
      <c r="B21" s="19" t="s">
        <v>68</v>
      </c>
      <c r="C21" s="25">
        <v>3444</v>
      </c>
      <c r="D21" s="21"/>
      <c r="E21" s="21"/>
      <c r="F21" s="6"/>
    </row>
    <row r="22" spans="1:6" ht="18" customHeight="1" x14ac:dyDescent="0.2">
      <c r="B22" s="19" t="s">
        <v>69</v>
      </c>
      <c r="C22" s="25">
        <v>3444</v>
      </c>
      <c r="D22" s="21"/>
      <c r="E22" s="21"/>
      <c r="F22" s="6"/>
    </row>
    <row r="23" spans="1:6" ht="18" customHeight="1" x14ac:dyDescent="0.2">
      <c r="B23" s="19" t="s">
        <v>70</v>
      </c>
      <c r="C23" s="25">
        <v>3416</v>
      </c>
      <c r="D23" s="21"/>
      <c r="E23" s="21"/>
      <c r="F23" s="6"/>
    </row>
    <row r="24" spans="1:6" ht="18" customHeight="1" x14ac:dyDescent="0.2">
      <c r="B24" s="27" t="s">
        <v>71</v>
      </c>
      <c r="C24" s="25">
        <v>3444</v>
      </c>
      <c r="D24" s="21"/>
      <c r="E24" s="22" t="s">
        <v>72</v>
      </c>
      <c r="F24" s="6"/>
    </row>
    <row r="25" spans="1:6" ht="18" customHeight="1" x14ac:dyDescent="0.2">
      <c r="B25" s="19" t="s">
        <v>73</v>
      </c>
      <c r="C25" s="29">
        <f>CEILING(C18/('1. Inputs'!C12*'1. Inputs'!C13),1)</f>
        <v>2682</v>
      </c>
      <c r="D25" s="21"/>
      <c r="E25" s="22" t="s">
        <v>74</v>
      </c>
      <c r="F25" s="6" t="s">
        <v>75</v>
      </c>
    </row>
    <row r="26" spans="1:6" ht="18" customHeight="1" x14ac:dyDescent="0.2">
      <c r="B26" s="21"/>
      <c r="C26" s="21"/>
      <c r="D26" s="21"/>
      <c r="E26" s="21"/>
      <c r="F26" s="6"/>
    </row>
    <row r="27" spans="1:6" ht="18" customHeight="1" x14ac:dyDescent="0.2">
      <c r="A27" s="165" t="s">
        <v>76</v>
      </c>
      <c r="B27" s="165"/>
      <c r="C27" s="165"/>
      <c r="D27" s="165"/>
      <c r="E27" s="165"/>
      <c r="F27" s="6"/>
    </row>
    <row r="28" spans="1:6" ht="18" customHeight="1" x14ac:dyDescent="0.2">
      <c r="B28" s="19" t="s">
        <v>77</v>
      </c>
      <c r="C28" s="30">
        <v>352800</v>
      </c>
      <c r="D28" s="21"/>
      <c r="E28" s="21"/>
      <c r="F28" s="6"/>
    </row>
    <row r="29" spans="1:6" ht="18" customHeight="1" x14ac:dyDescent="0.2">
      <c r="B29" s="19" t="s">
        <v>78</v>
      </c>
      <c r="C29" s="31">
        <v>0.95230000000000004</v>
      </c>
      <c r="D29" s="21"/>
      <c r="E29" s="21"/>
    </row>
    <row r="30" spans="1:6" ht="18" customHeight="1" x14ac:dyDescent="0.2">
      <c r="B30" s="21"/>
      <c r="C30" s="21"/>
      <c r="D30" s="21"/>
      <c r="E30" s="21"/>
    </row>
    <row r="31" spans="1:6" ht="18" customHeight="1" x14ac:dyDescent="0.2">
      <c r="A31" s="165" t="s">
        <v>79</v>
      </c>
      <c r="B31" s="165"/>
      <c r="C31" s="165"/>
      <c r="D31" s="165"/>
      <c r="E31" s="165"/>
    </row>
    <row r="32" spans="1:6" ht="18" customHeight="1" x14ac:dyDescent="0.2">
      <c r="B32" s="19" t="s">
        <v>80</v>
      </c>
      <c r="C32" s="32">
        <v>362.6</v>
      </c>
      <c r="D32" s="21"/>
      <c r="E32" s="21"/>
    </row>
    <row r="33" spans="1:6" ht="18" customHeight="1" x14ac:dyDescent="0.2">
      <c r="B33" s="19" t="s">
        <v>81</v>
      </c>
      <c r="C33" s="33">
        <v>272893.5</v>
      </c>
      <c r="D33" s="21"/>
      <c r="E33" s="22" t="s">
        <v>82</v>
      </c>
    </row>
    <row r="34" spans="1:6" ht="18" customHeight="1" x14ac:dyDescent="0.2">
      <c r="B34" s="19" t="s">
        <v>83</v>
      </c>
      <c r="C34" s="32">
        <v>194660.76</v>
      </c>
      <c r="D34" s="21"/>
      <c r="E34" s="21"/>
    </row>
    <row r="35" spans="1:6" ht="18" customHeight="1" x14ac:dyDescent="0.2">
      <c r="B35" s="19" t="s">
        <v>84</v>
      </c>
      <c r="C35" s="32">
        <v>7152.6</v>
      </c>
      <c r="D35" s="21"/>
      <c r="E35" s="21"/>
    </row>
    <row r="36" spans="1:6" ht="18" customHeight="1" x14ac:dyDescent="0.2">
      <c r="B36" s="19" t="s">
        <v>85</v>
      </c>
      <c r="C36" s="33">
        <v>380306.64</v>
      </c>
      <c r="D36" s="21"/>
      <c r="E36" s="21"/>
    </row>
    <row r="37" spans="1:6" ht="18" customHeight="1" x14ac:dyDescent="0.2">
      <c r="B37" s="19" t="s">
        <v>86</v>
      </c>
      <c r="C37" s="33">
        <v>1143765</v>
      </c>
      <c r="D37" s="21"/>
      <c r="E37" s="21"/>
    </row>
    <row r="38" spans="1:6" ht="18" customHeight="1" x14ac:dyDescent="0.2">
      <c r="B38" s="19" t="s">
        <v>87</v>
      </c>
      <c r="C38" s="33">
        <v>129218.32</v>
      </c>
      <c r="D38" s="21"/>
      <c r="E38" s="21"/>
    </row>
    <row r="39" spans="1:6" ht="18" customHeight="1" x14ac:dyDescent="0.2">
      <c r="B39" s="19" t="s">
        <v>88</v>
      </c>
      <c r="C39" s="33">
        <v>1136336.58</v>
      </c>
      <c r="D39" s="21"/>
      <c r="E39" s="22" t="s">
        <v>89</v>
      </c>
    </row>
    <row r="40" spans="1:6" ht="18" customHeight="1" x14ac:dyDescent="0.2">
      <c r="B40" s="19" t="s">
        <v>90</v>
      </c>
      <c r="C40" s="32">
        <v>6822.48</v>
      </c>
      <c r="D40" s="21"/>
      <c r="E40" s="21"/>
      <c r="F40" s="6"/>
    </row>
    <row r="41" spans="1:6" ht="18" customHeight="1" x14ac:dyDescent="0.2">
      <c r="B41" s="27" t="s">
        <v>91</v>
      </c>
      <c r="C41" s="34">
        <f>SUM(C32:C40)</f>
        <v>3271518.48</v>
      </c>
      <c r="D41" s="21"/>
      <c r="E41" s="21"/>
      <c r="F41" s="6" t="s">
        <v>5</v>
      </c>
    </row>
    <row r="42" spans="1:6" ht="18" customHeight="1" x14ac:dyDescent="0.2">
      <c r="B42" s="19" t="s">
        <v>92</v>
      </c>
      <c r="C42" s="32">
        <v>-3271.52</v>
      </c>
      <c r="D42" s="21"/>
      <c r="E42" s="22" t="s">
        <v>93</v>
      </c>
      <c r="F42" s="6"/>
    </row>
    <row r="43" spans="1:6" ht="18" customHeight="1" x14ac:dyDescent="0.2">
      <c r="B43" s="27" t="s">
        <v>94</v>
      </c>
      <c r="C43" s="34">
        <f>C41+C42</f>
        <v>3268246.96</v>
      </c>
      <c r="D43" s="21"/>
      <c r="E43" s="21"/>
      <c r="F43" s="6" t="s">
        <v>5</v>
      </c>
    </row>
    <row r="44" spans="1:6" ht="18" customHeight="1" x14ac:dyDescent="0.2">
      <c r="B44" s="19" t="s">
        <v>95</v>
      </c>
      <c r="C44" s="32">
        <v>522919.51</v>
      </c>
      <c r="D44" s="21"/>
      <c r="E44" s="21"/>
      <c r="F44" s="6"/>
    </row>
    <row r="45" spans="1:6" ht="18" customHeight="1" x14ac:dyDescent="0.2">
      <c r="B45" s="27" t="s">
        <v>96</v>
      </c>
      <c r="C45" s="34">
        <f>C43+C44</f>
        <v>3791166.4699999997</v>
      </c>
      <c r="D45" s="21"/>
      <c r="E45" s="22" t="s">
        <v>97</v>
      </c>
      <c r="F45" s="6" t="s">
        <v>5</v>
      </c>
    </row>
    <row r="46" spans="1:6" ht="18" customHeight="1" x14ac:dyDescent="0.2">
      <c r="B46" s="21"/>
      <c r="C46" s="21"/>
      <c r="D46" s="21"/>
      <c r="E46" s="21"/>
      <c r="F46" s="6"/>
    </row>
    <row r="47" spans="1:6" ht="18" customHeight="1" x14ac:dyDescent="0.2">
      <c r="A47" s="165" t="s">
        <v>98</v>
      </c>
      <c r="B47" s="165"/>
      <c r="C47" s="165"/>
      <c r="D47" s="165"/>
      <c r="E47" s="165"/>
      <c r="F47" s="6"/>
    </row>
    <row r="48" spans="1:6" ht="18" customHeight="1" x14ac:dyDescent="0.2">
      <c r="B48" s="19" t="s">
        <v>99</v>
      </c>
      <c r="C48" s="35">
        <f>C36/C15</f>
        <v>0.93030000000000002</v>
      </c>
      <c r="D48" s="21"/>
      <c r="E48" s="22" t="s">
        <v>100</v>
      </c>
      <c r="F48" s="6" t="s">
        <v>5</v>
      </c>
    </row>
    <row r="49" spans="1:6" ht="18" customHeight="1" x14ac:dyDescent="0.2">
      <c r="B49" s="19" t="s">
        <v>101</v>
      </c>
      <c r="C49" s="35">
        <f>C37/C16</f>
        <v>1.8154999999999999</v>
      </c>
      <c r="D49" s="21"/>
      <c r="E49" s="36" t="s">
        <v>102</v>
      </c>
      <c r="F49" s="6" t="s">
        <v>5</v>
      </c>
    </row>
    <row r="50" spans="1:6" ht="18" customHeight="1" x14ac:dyDescent="0.2">
      <c r="B50" s="19" t="s">
        <v>103</v>
      </c>
      <c r="C50" s="35">
        <f>C38/C17</f>
        <v>2.0977000000000001</v>
      </c>
      <c r="D50" s="21"/>
      <c r="E50" s="36" t="s">
        <v>104</v>
      </c>
      <c r="F50" s="6" t="s">
        <v>5</v>
      </c>
    </row>
    <row r="51" spans="1:6" ht="18" customHeight="1" x14ac:dyDescent="0.2">
      <c r="B51" s="27" t="s">
        <v>105</v>
      </c>
      <c r="C51" s="37">
        <f>(C36+C37+C38)/C18</f>
        <v>1.5024445292620867</v>
      </c>
      <c r="D51" s="21"/>
      <c r="E51" s="21"/>
      <c r="F51" s="6" t="s">
        <v>5</v>
      </c>
    </row>
    <row r="52" spans="1:6" ht="18" customHeight="1" x14ac:dyDescent="0.2">
      <c r="B52" s="21"/>
      <c r="C52" s="21"/>
      <c r="D52" s="21"/>
      <c r="E52" s="21"/>
      <c r="F52" s="6"/>
    </row>
    <row r="53" spans="1:6" ht="18" customHeight="1" x14ac:dyDescent="0.2">
      <c r="A53" s="165" t="s">
        <v>106</v>
      </c>
      <c r="B53" s="165"/>
      <c r="C53" s="165"/>
      <c r="D53" s="165"/>
      <c r="E53" s="165"/>
      <c r="F53" s="6"/>
    </row>
    <row r="54" spans="1:6" ht="18" customHeight="1" x14ac:dyDescent="0.2">
      <c r="B54" s="19" t="s">
        <v>107</v>
      </c>
      <c r="C54" s="38">
        <f>MIN(C23,C25)</f>
        <v>2682</v>
      </c>
      <c r="D54" s="21"/>
      <c r="E54" s="22" t="s">
        <v>108</v>
      </c>
      <c r="F54" s="6" t="s">
        <v>5</v>
      </c>
    </row>
    <row r="55" spans="1:6" ht="18" customHeight="1" x14ac:dyDescent="0.2">
      <c r="B55" s="19" t="s">
        <v>109</v>
      </c>
      <c r="C55" s="39">
        <f>C39/C54</f>
        <v>423.69000000000005</v>
      </c>
      <c r="D55" s="21"/>
      <c r="E55" s="22" t="s">
        <v>110</v>
      </c>
      <c r="F55" s="6" t="s">
        <v>5</v>
      </c>
    </row>
    <row r="56" spans="1:6" ht="18" customHeight="1" x14ac:dyDescent="0.2">
      <c r="B56" s="19" t="s">
        <v>111</v>
      </c>
      <c r="C56" s="38">
        <f>MIN(C24,C25)</f>
        <v>2682</v>
      </c>
      <c r="D56" s="21"/>
      <c r="E56" s="22" t="s">
        <v>112</v>
      </c>
      <c r="F56" s="6" t="s">
        <v>5</v>
      </c>
    </row>
    <row r="57" spans="1:6" ht="18" customHeight="1" x14ac:dyDescent="0.2">
      <c r="B57" s="19" t="s">
        <v>113</v>
      </c>
      <c r="C57" s="39">
        <f>C33/C56</f>
        <v>101.75</v>
      </c>
      <c r="D57" s="21"/>
      <c r="E57" s="36" t="s">
        <v>114</v>
      </c>
      <c r="F57" s="6" t="s">
        <v>5</v>
      </c>
    </row>
    <row r="58" spans="1:6" ht="18" customHeight="1" x14ac:dyDescent="0.2">
      <c r="B58" s="19"/>
      <c r="C58" s="40"/>
      <c r="D58" s="21"/>
      <c r="E58" s="21"/>
      <c r="F58" s="6"/>
    </row>
    <row r="59" spans="1:6" ht="21.75" customHeight="1" x14ac:dyDescent="0.2">
      <c r="A59" s="167" t="s">
        <v>115</v>
      </c>
      <c r="B59" s="167"/>
      <c r="C59" s="167"/>
      <c r="D59" s="167"/>
      <c r="E59" s="167"/>
      <c r="F59" s="168" t="s">
        <v>116</v>
      </c>
    </row>
    <row r="60" spans="1:6" x14ac:dyDescent="0.2">
      <c r="A60" s="41"/>
      <c r="B60" s="42" t="s">
        <v>117</v>
      </c>
      <c r="C60" s="43">
        <f>C34/C18</f>
        <v>0.1769</v>
      </c>
      <c r="D60" s="44"/>
      <c r="E60" s="36"/>
      <c r="F60" s="168"/>
    </row>
    <row r="61" spans="1:6" x14ac:dyDescent="0.2">
      <c r="A61" s="41"/>
      <c r="B61" s="42" t="s">
        <v>118</v>
      </c>
      <c r="C61" s="43">
        <f>C35/C18</f>
        <v>6.5000000000000006E-3</v>
      </c>
      <c r="D61" s="44"/>
      <c r="E61" s="44"/>
      <c r="F61" s="168"/>
    </row>
    <row r="62" spans="1:6" x14ac:dyDescent="0.2">
      <c r="A62" s="41"/>
      <c r="B62" s="42" t="s">
        <v>119</v>
      </c>
      <c r="C62" s="43">
        <f>C40/C18</f>
        <v>6.1999999999999998E-3</v>
      </c>
      <c r="D62" s="44"/>
      <c r="E62" s="44"/>
      <c r="F62" s="168"/>
    </row>
    <row r="63" spans="1:6" x14ac:dyDescent="0.2">
      <c r="A63" s="41"/>
      <c r="B63" s="45" t="s">
        <v>120</v>
      </c>
      <c r="C63" s="46">
        <f>SUM(C60:C62)</f>
        <v>0.18960000000000002</v>
      </c>
      <c r="D63" s="44"/>
      <c r="E63" s="44"/>
      <c r="F63" s="168"/>
    </row>
  </sheetData>
  <mergeCells count="10">
    <mergeCell ref="A1:E1"/>
    <mergeCell ref="A3:E3"/>
    <mergeCell ref="A14:E14"/>
    <mergeCell ref="A20:E20"/>
    <mergeCell ref="A27:E27"/>
    <mergeCell ref="A31:E31"/>
    <mergeCell ref="A47:E47"/>
    <mergeCell ref="A53:E53"/>
    <mergeCell ref="A59:E59"/>
    <mergeCell ref="F59:F6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9"/>
  <sheetViews>
    <sheetView showGridLines="0" zoomScale="118" zoomScaleNormal="118" workbookViewId="0">
      <selection activeCell="F30" sqref="F30"/>
    </sheetView>
  </sheetViews>
  <sheetFormatPr baseColWidth="10" defaultColWidth="8.6640625" defaultRowHeight="15" x14ac:dyDescent="0.2"/>
  <cols>
    <col min="1" max="1" width="4" customWidth="1"/>
    <col min="2" max="2" width="38" customWidth="1"/>
    <col min="3" max="4" width="18" customWidth="1"/>
    <col min="5" max="5" width="70" customWidth="1"/>
    <col min="6" max="6" width="69" customWidth="1"/>
  </cols>
  <sheetData>
    <row r="1" spans="1:6" ht="21.75" customHeight="1" x14ac:dyDescent="0.2">
      <c r="A1" s="166" t="s">
        <v>121</v>
      </c>
      <c r="B1" s="166"/>
      <c r="C1" s="166"/>
      <c r="D1" s="166"/>
      <c r="E1" s="166"/>
    </row>
    <row r="3" spans="1:6" ht="18" customHeight="1" x14ac:dyDescent="0.2">
      <c r="A3" s="165" t="s">
        <v>44</v>
      </c>
      <c r="B3" s="165"/>
      <c r="C3" s="165"/>
      <c r="D3" s="165"/>
      <c r="E3" s="165"/>
    </row>
    <row r="4" spans="1:6" ht="18" customHeight="1" x14ac:dyDescent="0.2">
      <c r="B4" s="47" t="s">
        <v>122</v>
      </c>
      <c r="C4" s="48" t="s">
        <v>123</v>
      </c>
      <c r="D4" s="49"/>
      <c r="E4" s="49"/>
      <c r="F4" s="6"/>
    </row>
    <row r="5" spans="1:6" ht="18" customHeight="1" x14ac:dyDescent="0.2">
      <c r="B5" s="47" t="s">
        <v>124</v>
      </c>
      <c r="C5" s="48" t="s">
        <v>125</v>
      </c>
      <c r="D5" s="49"/>
      <c r="E5" s="49"/>
      <c r="F5" s="6"/>
    </row>
    <row r="6" spans="1:6" ht="18" customHeight="1" x14ac:dyDescent="0.2">
      <c r="B6" s="47" t="s">
        <v>126</v>
      </c>
      <c r="C6" s="48" t="s">
        <v>127</v>
      </c>
      <c r="D6" s="49"/>
      <c r="E6" s="49"/>
      <c r="F6" s="6"/>
    </row>
    <row r="7" spans="1:6" ht="18" customHeight="1" x14ac:dyDescent="0.2">
      <c r="B7" s="47" t="s">
        <v>128</v>
      </c>
      <c r="C7" s="48" t="s">
        <v>49</v>
      </c>
      <c r="D7" s="49"/>
      <c r="E7" s="49"/>
      <c r="F7" s="6"/>
    </row>
    <row r="8" spans="1:6" ht="18" customHeight="1" x14ac:dyDescent="0.2">
      <c r="B8" s="47" t="s">
        <v>129</v>
      </c>
      <c r="C8" s="48" t="s">
        <v>130</v>
      </c>
      <c r="D8" s="49"/>
      <c r="E8" s="49"/>
      <c r="F8" s="5"/>
    </row>
    <row r="9" spans="1:6" ht="18" customHeight="1" x14ac:dyDescent="0.2">
      <c r="B9" s="47" t="s">
        <v>131</v>
      </c>
      <c r="C9" s="48" t="s">
        <v>132</v>
      </c>
      <c r="D9" s="49"/>
      <c r="E9" s="49"/>
    </row>
    <row r="10" spans="1:6" ht="18" customHeight="1" x14ac:dyDescent="0.2">
      <c r="B10" s="47" t="s">
        <v>56</v>
      </c>
      <c r="C10" s="48" t="s">
        <v>133</v>
      </c>
      <c r="D10" s="49"/>
      <c r="E10" s="49"/>
      <c r="F10" s="6"/>
    </row>
    <row r="11" spans="1:6" ht="18" customHeight="1" x14ac:dyDescent="0.2">
      <c r="B11" s="47" t="s">
        <v>58</v>
      </c>
      <c r="C11" s="50">
        <v>30</v>
      </c>
      <c r="D11" s="49"/>
      <c r="E11" s="49"/>
      <c r="F11" s="6"/>
    </row>
    <row r="12" spans="1:6" ht="18" customHeight="1" x14ac:dyDescent="0.2">
      <c r="B12" s="47" t="s">
        <v>134</v>
      </c>
      <c r="C12" s="48" t="s">
        <v>135</v>
      </c>
      <c r="D12" s="49"/>
      <c r="E12" s="49"/>
      <c r="F12" s="6"/>
    </row>
    <row r="13" spans="1:6" ht="18" customHeight="1" x14ac:dyDescent="0.2">
      <c r="B13" s="49"/>
      <c r="C13" s="49"/>
      <c r="D13" s="49"/>
      <c r="E13" s="49"/>
      <c r="F13" s="6"/>
    </row>
    <row r="14" spans="1:6" ht="18" customHeight="1" x14ac:dyDescent="0.2">
      <c r="A14" s="165" t="s">
        <v>136</v>
      </c>
      <c r="B14" s="165"/>
      <c r="C14" s="165"/>
      <c r="D14" s="165"/>
      <c r="E14" s="165"/>
      <c r="F14" s="6"/>
    </row>
    <row r="15" spans="1:6" ht="18" customHeight="1" x14ac:dyDescent="0.2">
      <c r="B15" s="47" t="s">
        <v>137</v>
      </c>
      <c r="C15" s="51">
        <v>2060135</v>
      </c>
      <c r="D15" s="49"/>
      <c r="E15" s="52" t="s">
        <v>138</v>
      </c>
      <c r="F15" s="6"/>
    </row>
    <row r="16" spans="1:6" ht="18" customHeight="1" x14ac:dyDescent="0.2">
      <c r="B16" s="47" t="s">
        <v>139</v>
      </c>
      <c r="C16" s="53">
        <f>C15/1000</f>
        <v>2060.1350000000002</v>
      </c>
      <c r="D16" s="49"/>
      <c r="E16" s="49"/>
      <c r="F16" s="6" t="s">
        <v>5</v>
      </c>
    </row>
    <row r="17" spans="1:6" ht="18" customHeight="1" x14ac:dyDescent="0.2">
      <c r="B17" s="47" t="s">
        <v>140</v>
      </c>
      <c r="C17" s="54">
        <v>2.0306000000000002</v>
      </c>
      <c r="D17" s="49"/>
      <c r="E17" s="52" t="s">
        <v>141</v>
      </c>
      <c r="F17" s="6" t="s">
        <v>5</v>
      </c>
    </row>
    <row r="18" spans="1:6" ht="18" customHeight="1" x14ac:dyDescent="0.2">
      <c r="B18" s="49"/>
      <c r="C18" s="49"/>
      <c r="D18" s="49"/>
      <c r="E18" s="49"/>
      <c r="F18" s="6"/>
    </row>
    <row r="19" spans="1:6" ht="18" customHeight="1" x14ac:dyDescent="0.2">
      <c r="A19" s="165" t="s">
        <v>142</v>
      </c>
      <c r="B19" s="165"/>
      <c r="C19" s="165"/>
      <c r="D19" s="165"/>
      <c r="E19" s="165"/>
      <c r="F19" s="6"/>
    </row>
    <row r="20" spans="1:6" ht="18" customHeight="1" x14ac:dyDescent="0.2">
      <c r="B20" s="47" t="s">
        <v>143</v>
      </c>
      <c r="C20" s="55">
        <v>4183310.13</v>
      </c>
      <c r="D20" s="49"/>
      <c r="E20" s="49"/>
      <c r="F20" s="6" t="s">
        <v>5</v>
      </c>
    </row>
    <row r="21" spans="1:6" ht="18" customHeight="1" x14ac:dyDescent="0.2">
      <c r="B21" s="47" t="s">
        <v>144</v>
      </c>
      <c r="C21" s="56">
        <f>C15*C17</f>
        <v>4183310.1310000005</v>
      </c>
      <c r="D21" s="49"/>
      <c r="E21" s="52" t="s">
        <v>145</v>
      </c>
      <c r="F21" s="6"/>
    </row>
    <row r="22" spans="1:6" ht="18" customHeight="1" x14ac:dyDescent="0.2">
      <c r="B22" s="47" t="s">
        <v>146</v>
      </c>
      <c r="C22" s="56">
        <f>ABS(C20-C21)</f>
        <v>1.0000006295740604E-3</v>
      </c>
      <c r="D22" s="49"/>
      <c r="E22" s="49"/>
      <c r="F22" s="6"/>
    </row>
    <row r="23" spans="1:6" ht="18" customHeight="1" x14ac:dyDescent="0.2">
      <c r="B23" s="47" t="s">
        <v>95</v>
      </c>
      <c r="C23" s="55">
        <v>669329.62</v>
      </c>
      <c r="D23" s="49"/>
      <c r="E23" s="49"/>
      <c r="F23" s="6"/>
    </row>
    <row r="24" spans="1:6" ht="18" customHeight="1" x14ac:dyDescent="0.2">
      <c r="B24" s="57" t="s">
        <v>96</v>
      </c>
      <c r="C24" s="55">
        <v>4852639.75</v>
      </c>
      <c r="D24" s="49"/>
      <c r="E24" s="49"/>
      <c r="F24" s="6"/>
    </row>
    <row r="25" spans="1:6" ht="18" customHeight="1" x14ac:dyDescent="0.2">
      <c r="B25" s="47" t="s">
        <v>147</v>
      </c>
      <c r="C25" s="56">
        <f>C20*1.16</f>
        <v>4852639.7507999996</v>
      </c>
      <c r="D25" s="49"/>
      <c r="E25" s="49"/>
      <c r="F25" s="6"/>
    </row>
    <row r="26" spans="1:6" ht="18" customHeight="1" x14ac:dyDescent="0.2">
      <c r="B26" s="49"/>
      <c r="C26" s="49"/>
      <c r="D26" s="49"/>
      <c r="E26" s="49"/>
      <c r="F26" s="6"/>
    </row>
    <row r="27" spans="1:6" ht="18" customHeight="1" x14ac:dyDescent="0.2">
      <c r="A27" s="165" t="s">
        <v>148</v>
      </c>
      <c r="B27" s="165"/>
      <c r="C27" s="165"/>
      <c r="D27" s="165"/>
      <c r="E27" s="165"/>
      <c r="F27" s="6"/>
    </row>
    <row r="28" spans="1:6" ht="18" customHeight="1" x14ac:dyDescent="0.2">
      <c r="B28" s="47" t="s">
        <v>149</v>
      </c>
      <c r="C28" s="58">
        <v>71.8</v>
      </c>
      <c r="D28" s="49"/>
      <c r="E28" s="52" t="s">
        <v>150</v>
      </c>
      <c r="F28" s="6"/>
    </row>
    <row r="29" spans="1:6" ht="18" customHeight="1" x14ac:dyDescent="0.2">
      <c r="B29" s="47" t="s">
        <v>151</v>
      </c>
      <c r="C29" s="48" t="s">
        <v>152</v>
      </c>
      <c r="D29" s="49"/>
      <c r="E29" s="49"/>
    </row>
    <row r="30" spans="1:6" ht="18" customHeight="1" x14ac:dyDescent="0.2">
      <c r="B30" s="47" t="s">
        <v>153</v>
      </c>
      <c r="C30" s="59">
        <v>26987.82</v>
      </c>
      <c r="D30" s="49"/>
      <c r="E30" s="49"/>
    </row>
    <row r="31" spans="1:6" ht="18" customHeight="1" x14ac:dyDescent="0.2">
      <c r="B31" s="47" t="s">
        <v>154</v>
      </c>
      <c r="C31" s="60">
        <v>4075</v>
      </c>
      <c r="D31" s="49"/>
      <c r="E31" s="49"/>
    </row>
    <row r="32" spans="1:6" ht="18" customHeight="1" x14ac:dyDescent="0.2">
      <c r="B32" s="47" t="s">
        <v>155</v>
      </c>
      <c r="C32" s="48" t="s">
        <v>156</v>
      </c>
      <c r="D32" s="49"/>
      <c r="E32" s="49"/>
    </row>
    <row r="33" spans="2:6" ht="18" customHeight="1" x14ac:dyDescent="0.2">
      <c r="B33" s="47" t="s">
        <v>157</v>
      </c>
      <c r="C33" s="59">
        <v>2333</v>
      </c>
      <c r="D33" s="49"/>
      <c r="E33" s="52" t="s">
        <v>158</v>
      </c>
    </row>
    <row r="34" spans="2:6" ht="18" customHeight="1" x14ac:dyDescent="0.2">
      <c r="B34" s="47" t="s">
        <v>159</v>
      </c>
      <c r="C34" s="53">
        <f>C33*1.1</f>
        <v>2566.3000000000002</v>
      </c>
      <c r="D34" s="49"/>
      <c r="E34" s="52" t="s">
        <v>160</v>
      </c>
      <c r="F34" s="6" t="s">
        <v>5</v>
      </c>
    </row>
    <row r="35" spans="2:6" ht="18" customHeight="1" x14ac:dyDescent="0.2">
      <c r="B35" s="47" t="s">
        <v>161</v>
      </c>
      <c r="C35" s="61" t="str">
        <f>IF(C16&gt;C34,"SÍ EXCEDENTE","NO")</f>
        <v>NO</v>
      </c>
      <c r="D35" s="49"/>
      <c r="E35" s="52" t="s">
        <v>162</v>
      </c>
      <c r="F35" s="6" t="s">
        <v>5</v>
      </c>
    </row>
    <row r="40" spans="2:6" x14ac:dyDescent="0.2">
      <c r="F40" s="6"/>
    </row>
    <row r="41" spans="2:6" x14ac:dyDescent="0.2">
      <c r="F41" s="6"/>
    </row>
    <row r="42" spans="2:6" x14ac:dyDescent="0.2">
      <c r="F42" s="6"/>
    </row>
    <row r="43" spans="2:6" x14ac:dyDescent="0.2">
      <c r="F43" s="6"/>
    </row>
    <row r="44" spans="2:6" x14ac:dyDescent="0.2">
      <c r="F44" s="6"/>
    </row>
    <row r="45" spans="2:6" x14ac:dyDescent="0.2">
      <c r="F45" s="6"/>
    </row>
    <row r="46" spans="2:6" x14ac:dyDescent="0.2">
      <c r="F46" s="6"/>
    </row>
    <row r="47" spans="2:6" x14ac:dyDescent="0.2">
      <c r="F47" s="6"/>
    </row>
    <row r="48" spans="2:6" x14ac:dyDescent="0.2">
      <c r="F48" s="6"/>
    </row>
    <row r="49" spans="6:6" x14ac:dyDescent="0.2">
      <c r="F49" s="6"/>
    </row>
    <row r="50" spans="6:6" x14ac:dyDescent="0.2">
      <c r="F50" s="6"/>
    </row>
    <row r="51" spans="6:6" x14ac:dyDescent="0.2">
      <c r="F51" s="6"/>
    </row>
    <row r="52" spans="6:6" x14ac:dyDescent="0.2">
      <c r="F52" s="6"/>
    </row>
    <row r="53" spans="6:6" x14ac:dyDescent="0.2">
      <c r="F53" s="6"/>
    </row>
    <row r="54" spans="6:6" x14ac:dyDescent="0.2">
      <c r="F54" s="6"/>
    </row>
    <row r="55" spans="6:6" x14ac:dyDescent="0.2">
      <c r="F55" s="6"/>
    </row>
    <row r="56" spans="6:6" x14ac:dyDescent="0.2">
      <c r="F56" s="6"/>
    </row>
    <row r="57" spans="6:6" x14ac:dyDescent="0.2">
      <c r="F57" s="6"/>
    </row>
    <row r="58" spans="6:6" x14ac:dyDescent="0.2">
      <c r="F58" s="6"/>
    </row>
    <row r="59" spans="6:6" x14ac:dyDescent="0.2">
      <c r="F59" s="6"/>
    </row>
  </sheetData>
  <mergeCells count="5">
    <mergeCell ref="A1:E1"/>
    <mergeCell ref="A3:E3"/>
    <mergeCell ref="A14:E14"/>
    <mergeCell ref="A19:E19"/>
    <mergeCell ref="A27:E2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9"/>
  <sheetViews>
    <sheetView showGridLines="0" zoomScaleNormal="100" workbookViewId="0">
      <selection activeCell="C20" sqref="C20"/>
    </sheetView>
  </sheetViews>
  <sheetFormatPr baseColWidth="10" defaultColWidth="8.6640625" defaultRowHeight="15" x14ac:dyDescent="0.2"/>
  <cols>
    <col min="1" max="1" width="4" customWidth="1"/>
    <col min="2" max="2" width="38" customWidth="1"/>
    <col min="3" max="4" width="18" customWidth="1"/>
    <col min="5" max="5" width="70" customWidth="1"/>
    <col min="6" max="6" width="69" customWidth="1"/>
  </cols>
  <sheetData>
    <row r="1" spans="1:6" ht="21.75" customHeight="1" x14ac:dyDescent="0.2">
      <c r="A1" s="166" t="s">
        <v>163</v>
      </c>
      <c r="B1" s="166"/>
      <c r="C1" s="166"/>
      <c r="D1" s="166"/>
      <c r="E1" s="166"/>
    </row>
    <row r="3" spans="1:6" ht="18" customHeight="1" x14ac:dyDescent="0.2">
      <c r="A3" s="165" t="s">
        <v>44</v>
      </c>
      <c r="B3" s="165"/>
      <c r="C3" s="165"/>
      <c r="D3" s="165"/>
      <c r="E3" s="165"/>
    </row>
    <row r="4" spans="1:6" ht="18" customHeight="1" x14ac:dyDescent="0.2">
      <c r="B4" s="62" t="s">
        <v>122</v>
      </c>
      <c r="C4" s="63" t="s">
        <v>164</v>
      </c>
      <c r="D4" s="64"/>
      <c r="E4" s="64"/>
      <c r="F4" s="6"/>
    </row>
    <row r="5" spans="1:6" ht="18" customHeight="1" x14ac:dyDescent="0.2">
      <c r="B5" s="62" t="s">
        <v>124</v>
      </c>
      <c r="C5" s="63" t="s">
        <v>165</v>
      </c>
      <c r="D5" s="64"/>
      <c r="E5" s="64"/>
      <c r="F5" s="6"/>
    </row>
    <row r="6" spans="1:6" ht="18" customHeight="1" x14ac:dyDescent="0.2">
      <c r="B6" s="62" t="s">
        <v>45</v>
      </c>
      <c r="C6" s="63" t="s">
        <v>46</v>
      </c>
      <c r="D6" s="64"/>
      <c r="E6" s="64"/>
      <c r="F6" s="6"/>
    </row>
    <row r="7" spans="1:6" ht="18" customHeight="1" x14ac:dyDescent="0.2">
      <c r="B7" s="62" t="s">
        <v>128</v>
      </c>
      <c r="C7" s="63" t="s">
        <v>49</v>
      </c>
      <c r="D7" s="64"/>
      <c r="E7" s="64"/>
      <c r="F7" s="6"/>
    </row>
    <row r="8" spans="1:6" ht="18" customHeight="1" x14ac:dyDescent="0.2">
      <c r="B8" s="62" t="s">
        <v>166</v>
      </c>
      <c r="C8" s="63" t="s">
        <v>167</v>
      </c>
      <c r="D8" s="64"/>
      <c r="E8" s="64"/>
      <c r="F8" s="5"/>
    </row>
    <row r="9" spans="1:6" ht="18" customHeight="1" x14ac:dyDescent="0.2">
      <c r="B9" s="62" t="s">
        <v>168</v>
      </c>
      <c r="C9" s="63" t="s">
        <v>169</v>
      </c>
      <c r="D9" s="64"/>
      <c r="E9" s="64"/>
    </row>
    <row r="10" spans="1:6" ht="18" customHeight="1" x14ac:dyDescent="0.2">
      <c r="B10" s="62" t="s">
        <v>170</v>
      </c>
      <c r="C10" s="63" t="s">
        <v>171</v>
      </c>
      <c r="D10" s="64"/>
      <c r="E10" s="64"/>
      <c r="F10" s="6"/>
    </row>
    <row r="11" spans="1:6" ht="18" customHeight="1" x14ac:dyDescent="0.2">
      <c r="B11" s="62" t="s">
        <v>56</v>
      </c>
      <c r="C11" s="63" t="s">
        <v>172</v>
      </c>
      <c r="D11" s="64"/>
      <c r="E11" s="64"/>
      <c r="F11" s="6"/>
    </row>
    <row r="12" spans="1:6" ht="18" customHeight="1" x14ac:dyDescent="0.2">
      <c r="B12" s="62" t="s">
        <v>58</v>
      </c>
      <c r="C12" s="65">
        <v>30</v>
      </c>
      <c r="D12" s="64"/>
      <c r="E12" s="64"/>
      <c r="F12" s="6"/>
    </row>
    <row r="13" spans="1:6" ht="18" customHeight="1" x14ac:dyDescent="0.2">
      <c r="B13" s="62" t="s">
        <v>173</v>
      </c>
      <c r="C13" s="63" t="s">
        <v>174</v>
      </c>
      <c r="D13" s="64"/>
      <c r="E13" s="64"/>
      <c r="F13" s="6"/>
    </row>
    <row r="14" spans="1:6" ht="18" customHeight="1" x14ac:dyDescent="0.2">
      <c r="B14" s="62" t="s">
        <v>175</v>
      </c>
      <c r="C14" s="63" t="s">
        <v>176</v>
      </c>
      <c r="D14" s="64"/>
      <c r="E14" s="64"/>
      <c r="F14" s="6"/>
    </row>
    <row r="15" spans="1:6" ht="18" customHeight="1" x14ac:dyDescent="0.2">
      <c r="B15" s="64"/>
      <c r="C15" s="64"/>
      <c r="D15" s="64"/>
      <c r="E15" s="64"/>
      <c r="F15" s="6"/>
    </row>
    <row r="16" spans="1:6" ht="18" customHeight="1" x14ac:dyDescent="0.2">
      <c r="A16" s="165" t="s">
        <v>177</v>
      </c>
      <c r="B16" s="165"/>
      <c r="C16" s="165"/>
      <c r="D16" s="165"/>
      <c r="E16" s="165"/>
      <c r="F16" s="6"/>
    </row>
    <row r="17" spans="1:6" ht="18" customHeight="1" x14ac:dyDescent="0.2">
      <c r="B17" s="62" t="s">
        <v>178</v>
      </c>
      <c r="C17" s="66">
        <v>3098656.95</v>
      </c>
      <c r="D17" s="64"/>
      <c r="E17" s="64"/>
      <c r="F17" s="6"/>
    </row>
    <row r="18" spans="1:6" ht="18" customHeight="1" x14ac:dyDescent="0.2">
      <c r="B18" s="62" t="s">
        <v>179</v>
      </c>
      <c r="C18" s="67">
        <v>3.7740297999999999E-2</v>
      </c>
      <c r="D18" s="64"/>
      <c r="E18" s="68" t="s">
        <v>180</v>
      </c>
      <c r="F18" s="6"/>
    </row>
    <row r="19" spans="1:6" ht="18" customHeight="1" x14ac:dyDescent="0.2">
      <c r="B19" s="62" t="s">
        <v>181</v>
      </c>
      <c r="C19" s="69">
        <f>C17*C18</f>
        <v>116944.2366927711</v>
      </c>
      <c r="D19" s="64"/>
      <c r="E19" s="64"/>
      <c r="F19" s="6" t="s">
        <v>5</v>
      </c>
    </row>
    <row r="20" spans="1:6" ht="18" customHeight="1" x14ac:dyDescent="0.2">
      <c r="B20" s="70" t="s">
        <v>182</v>
      </c>
      <c r="C20" s="71">
        <f>C19/'1. Inputs'!C11</f>
        <v>105355.16819168566</v>
      </c>
      <c r="D20" s="64"/>
      <c r="E20" s="68" t="s">
        <v>183</v>
      </c>
      <c r="F20" s="6" t="s">
        <v>5</v>
      </c>
    </row>
    <row r="21" spans="1:6" ht="18" customHeight="1" x14ac:dyDescent="0.2">
      <c r="B21" s="64"/>
      <c r="C21" s="64"/>
      <c r="D21" s="64"/>
      <c r="E21" s="64"/>
      <c r="F21" s="6"/>
    </row>
    <row r="22" spans="1:6" ht="18" customHeight="1" x14ac:dyDescent="0.2">
      <c r="A22" s="165" t="s">
        <v>184</v>
      </c>
      <c r="B22" s="165"/>
      <c r="C22" s="165"/>
      <c r="D22" s="165"/>
      <c r="E22" s="165"/>
      <c r="F22" s="6"/>
    </row>
    <row r="23" spans="1:6" ht="18" customHeight="1" x14ac:dyDescent="0.2">
      <c r="B23" s="62" t="s">
        <v>185</v>
      </c>
      <c r="C23" s="72">
        <v>2867596.14</v>
      </c>
      <c r="D23" s="64"/>
      <c r="E23" s="68" t="s">
        <v>186</v>
      </c>
      <c r="F23" s="6"/>
    </row>
    <row r="24" spans="1:6" ht="18" customHeight="1" x14ac:dyDescent="0.2">
      <c r="B24" s="62" t="s">
        <v>187</v>
      </c>
      <c r="C24" s="73">
        <v>24.52</v>
      </c>
      <c r="D24" s="64"/>
      <c r="E24" s="64"/>
      <c r="F24" s="6"/>
    </row>
    <row r="25" spans="1:6" ht="18" customHeight="1" x14ac:dyDescent="0.2">
      <c r="B25" s="62" t="s">
        <v>188</v>
      </c>
      <c r="C25" s="72">
        <v>4393784.1399999997</v>
      </c>
      <c r="D25" s="64"/>
      <c r="E25" s="68" t="s">
        <v>189</v>
      </c>
      <c r="F25" s="6"/>
    </row>
    <row r="26" spans="1:6" ht="18" customHeight="1" x14ac:dyDescent="0.2">
      <c r="B26" s="62" t="s">
        <v>190</v>
      </c>
      <c r="C26" s="73">
        <v>37.57</v>
      </c>
      <c r="D26" s="64"/>
      <c r="E26" s="64"/>
      <c r="F26" s="6"/>
    </row>
    <row r="27" spans="1:6" ht="18" customHeight="1" x14ac:dyDescent="0.2">
      <c r="B27" s="70" t="s">
        <v>94</v>
      </c>
      <c r="C27" s="74">
        <f>C23+C25</f>
        <v>7261380.2799999993</v>
      </c>
      <c r="D27" s="64"/>
      <c r="E27" s="64"/>
      <c r="F27" s="6" t="s">
        <v>5</v>
      </c>
    </row>
    <row r="28" spans="1:6" ht="18" customHeight="1" x14ac:dyDescent="0.2">
      <c r="B28" s="62" t="s">
        <v>191</v>
      </c>
      <c r="C28" s="72">
        <v>7261380.2800000003</v>
      </c>
      <c r="D28" s="64"/>
      <c r="E28" s="64"/>
      <c r="F28" s="6" t="s">
        <v>5</v>
      </c>
    </row>
    <row r="29" spans="1:6" ht="18" customHeight="1" x14ac:dyDescent="0.2">
      <c r="B29" s="62" t="s">
        <v>95</v>
      </c>
      <c r="C29" s="72">
        <v>1161820.8400000001</v>
      </c>
      <c r="D29" s="64"/>
      <c r="E29" s="64"/>
    </row>
    <row r="30" spans="1:6" ht="18" customHeight="1" x14ac:dyDescent="0.2">
      <c r="B30" s="70" t="s">
        <v>96</v>
      </c>
      <c r="C30" s="72">
        <v>8423201.1199999992</v>
      </c>
      <c r="D30" s="64"/>
      <c r="E30" s="64"/>
    </row>
    <row r="31" spans="1:6" ht="18" customHeight="1" x14ac:dyDescent="0.2">
      <c r="B31" s="64"/>
      <c r="C31" s="64"/>
      <c r="D31" s="64"/>
      <c r="E31" s="64"/>
    </row>
    <row r="32" spans="1:6" ht="18" customHeight="1" x14ac:dyDescent="0.2">
      <c r="A32" s="165" t="s">
        <v>192</v>
      </c>
      <c r="B32" s="165"/>
      <c r="C32" s="165"/>
      <c r="D32" s="165"/>
      <c r="E32" s="165"/>
    </row>
    <row r="33" spans="2:6" ht="18" customHeight="1" x14ac:dyDescent="0.2">
      <c r="B33" s="62" t="s">
        <v>193</v>
      </c>
      <c r="C33" s="75">
        <f>C27/C19</f>
        <v>62.092673271934409</v>
      </c>
      <c r="D33" s="64"/>
      <c r="E33" s="68" t="s">
        <v>194</v>
      </c>
      <c r="F33" s="6" t="s">
        <v>5</v>
      </c>
    </row>
    <row r="34" spans="2:6" ht="18" customHeight="1" x14ac:dyDescent="0.2">
      <c r="B34" s="62" t="s">
        <v>195</v>
      </c>
      <c r="C34" s="75">
        <f>C27/C20</f>
        <v>68.9228673318472</v>
      </c>
      <c r="D34" s="64"/>
      <c r="E34" s="68" t="s">
        <v>196</v>
      </c>
      <c r="F34" s="6" t="s">
        <v>5</v>
      </c>
    </row>
    <row r="40" spans="2:6" x14ac:dyDescent="0.2">
      <c r="F40" s="6"/>
    </row>
    <row r="41" spans="2:6" x14ac:dyDescent="0.2">
      <c r="F41" s="6"/>
    </row>
    <row r="42" spans="2:6" x14ac:dyDescent="0.2">
      <c r="F42" s="6"/>
    </row>
    <row r="43" spans="2:6" x14ac:dyDescent="0.2">
      <c r="F43" s="6"/>
    </row>
    <row r="44" spans="2:6" x14ac:dyDescent="0.2">
      <c r="F44" s="6"/>
    </row>
    <row r="45" spans="2:6" x14ac:dyDescent="0.2">
      <c r="F45" s="6"/>
    </row>
    <row r="46" spans="2:6" x14ac:dyDescent="0.2">
      <c r="F46" s="6"/>
    </row>
    <row r="47" spans="2:6" x14ac:dyDescent="0.2">
      <c r="F47" s="6"/>
    </row>
    <row r="48" spans="2:6" x14ac:dyDescent="0.2">
      <c r="F48" s="6"/>
    </row>
    <row r="49" spans="6:6" x14ac:dyDescent="0.2">
      <c r="F49" s="6"/>
    </row>
    <row r="50" spans="6:6" x14ac:dyDescent="0.2">
      <c r="F50" s="6"/>
    </row>
    <row r="51" spans="6:6" x14ac:dyDescent="0.2">
      <c r="F51" s="6"/>
    </row>
    <row r="52" spans="6:6" x14ac:dyDescent="0.2">
      <c r="F52" s="6"/>
    </row>
    <row r="53" spans="6:6" x14ac:dyDescent="0.2">
      <c r="F53" s="6"/>
    </row>
    <row r="54" spans="6:6" x14ac:dyDescent="0.2">
      <c r="F54" s="6"/>
    </row>
    <row r="55" spans="6:6" x14ac:dyDescent="0.2">
      <c r="F55" s="6"/>
    </row>
    <row r="56" spans="6:6" x14ac:dyDescent="0.2">
      <c r="F56" s="6"/>
    </row>
    <row r="57" spans="6:6" x14ac:dyDescent="0.2">
      <c r="F57" s="6"/>
    </row>
    <row r="58" spans="6:6" x14ac:dyDescent="0.2">
      <c r="F58" s="6"/>
    </row>
    <row r="59" spans="6:6" x14ac:dyDescent="0.2">
      <c r="F59" s="6"/>
    </row>
  </sheetData>
  <mergeCells count="5">
    <mergeCell ref="A1:E1"/>
    <mergeCell ref="A3:E3"/>
    <mergeCell ref="A16:E16"/>
    <mergeCell ref="A22:E22"/>
    <mergeCell ref="A32:E3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7"/>
  <sheetViews>
    <sheetView showGridLines="0" zoomScaleNormal="100" workbookViewId="0">
      <selection activeCell="C14" sqref="C14"/>
    </sheetView>
  </sheetViews>
  <sheetFormatPr baseColWidth="10" defaultColWidth="8.6640625" defaultRowHeight="15" x14ac:dyDescent="0.2"/>
  <cols>
    <col min="1" max="1" width="4" customWidth="1"/>
    <col min="2" max="2" width="38" customWidth="1"/>
    <col min="3" max="4" width="18" customWidth="1"/>
    <col min="5" max="5" width="70" customWidth="1"/>
    <col min="6" max="6" width="69" customWidth="1"/>
  </cols>
  <sheetData>
    <row r="1" spans="1:6" ht="21.75" customHeight="1" x14ac:dyDescent="0.2">
      <c r="A1" s="166" t="s">
        <v>197</v>
      </c>
      <c r="B1" s="166"/>
      <c r="C1" s="166"/>
      <c r="D1" s="166"/>
      <c r="E1" s="166"/>
    </row>
    <row r="3" spans="1:6" ht="18" customHeight="1" x14ac:dyDescent="0.2">
      <c r="A3" s="165" t="s">
        <v>44</v>
      </c>
      <c r="B3" s="165"/>
      <c r="C3" s="165"/>
      <c r="D3" s="165"/>
      <c r="E3" s="165"/>
    </row>
    <row r="4" spans="1:6" ht="18" customHeight="1" x14ac:dyDescent="0.2">
      <c r="B4" s="76" t="s">
        <v>45</v>
      </c>
      <c r="C4" s="77" t="s">
        <v>46</v>
      </c>
      <c r="D4" s="78"/>
      <c r="E4" s="78"/>
      <c r="F4" s="6" t="s">
        <v>5</v>
      </c>
    </row>
    <row r="5" spans="1:6" ht="18" customHeight="1" x14ac:dyDescent="0.2">
      <c r="B5" s="76" t="s">
        <v>198</v>
      </c>
      <c r="C5" s="77" t="s">
        <v>199</v>
      </c>
      <c r="D5" s="78"/>
      <c r="E5" s="78"/>
      <c r="F5" s="6" t="s">
        <v>5</v>
      </c>
    </row>
    <row r="6" spans="1:6" ht="18" customHeight="1" x14ac:dyDescent="0.2">
      <c r="B6" s="78"/>
      <c r="C6" s="78"/>
      <c r="D6" s="78"/>
      <c r="E6" s="78"/>
      <c r="F6" s="6"/>
    </row>
    <row r="7" spans="1:6" ht="18" customHeight="1" x14ac:dyDescent="0.2">
      <c r="A7" s="165" t="s">
        <v>200</v>
      </c>
      <c r="B7" s="165"/>
      <c r="C7" s="165"/>
      <c r="D7" s="165"/>
      <c r="E7" s="165"/>
      <c r="F7" s="6"/>
    </row>
    <row r="8" spans="1:6" ht="18" customHeight="1" x14ac:dyDescent="0.2">
      <c r="B8" s="76" t="s">
        <v>201</v>
      </c>
      <c r="C8" s="77" t="s">
        <v>202</v>
      </c>
      <c r="D8" s="78"/>
      <c r="E8" s="79" t="s">
        <v>203</v>
      </c>
      <c r="F8" s="6" t="s">
        <v>5</v>
      </c>
    </row>
    <row r="9" spans="1:6" ht="18" customHeight="1" x14ac:dyDescent="0.2">
      <c r="B9" s="76" t="s">
        <v>204</v>
      </c>
      <c r="C9" s="77" t="s">
        <v>205</v>
      </c>
      <c r="D9" s="78"/>
      <c r="E9" s="79" t="s">
        <v>206</v>
      </c>
      <c r="F9" s="6" t="s">
        <v>5</v>
      </c>
    </row>
    <row r="10" spans="1:6" ht="18" customHeight="1" x14ac:dyDescent="0.2">
      <c r="B10" s="76" t="s">
        <v>207</v>
      </c>
      <c r="C10" s="80">
        <v>1721</v>
      </c>
      <c r="D10" s="78"/>
      <c r="E10" s="79" t="s">
        <v>208</v>
      </c>
      <c r="F10" s="6" t="s">
        <v>5</v>
      </c>
    </row>
    <row r="11" spans="1:6" ht="18" customHeight="1" x14ac:dyDescent="0.2">
      <c r="B11" s="76" t="s">
        <v>209</v>
      </c>
      <c r="C11" s="77" t="s">
        <v>210</v>
      </c>
      <c r="D11" s="78"/>
      <c r="E11" s="78"/>
      <c r="F11" s="6" t="s">
        <v>5</v>
      </c>
    </row>
    <row r="12" spans="1:6" ht="18" customHeight="1" x14ac:dyDescent="0.2">
      <c r="B12" s="78"/>
      <c r="C12" s="78"/>
      <c r="D12" s="78"/>
      <c r="E12" s="78"/>
      <c r="F12" s="6"/>
    </row>
    <row r="13" spans="1:6" ht="18" customHeight="1" x14ac:dyDescent="0.2">
      <c r="A13" s="165" t="s">
        <v>211</v>
      </c>
      <c r="B13" s="165"/>
      <c r="C13" s="165"/>
      <c r="D13" s="165"/>
      <c r="E13" s="165"/>
      <c r="F13" s="6"/>
    </row>
    <row r="14" spans="1:6" ht="18" customHeight="1" x14ac:dyDescent="0.2">
      <c r="B14" s="76" t="s">
        <v>212</v>
      </c>
      <c r="C14" s="81">
        <f>'1. Inputs'!C25</f>
        <v>0.82</v>
      </c>
      <c r="D14" s="78"/>
      <c r="E14" s="78"/>
      <c r="F14" s="6" t="s">
        <v>5</v>
      </c>
    </row>
    <row r="15" spans="1:6" ht="18" customHeight="1" x14ac:dyDescent="0.2">
      <c r="B15" s="76" t="s">
        <v>213</v>
      </c>
      <c r="C15" s="81">
        <f>'1. Inputs'!C26</f>
        <v>0.94</v>
      </c>
      <c r="D15" s="78"/>
      <c r="E15" s="78"/>
      <c r="F15" s="6" t="s">
        <v>5</v>
      </c>
    </row>
    <row r="16" spans="1:6" ht="18" customHeight="1" x14ac:dyDescent="0.2">
      <c r="B16" s="76" t="s">
        <v>214</v>
      </c>
      <c r="C16" s="81">
        <f>'1. Inputs'!C27</f>
        <v>0.44</v>
      </c>
      <c r="D16" s="78"/>
      <c r="E16" s="78"/>
      <c r="F16" s="6" t="s">
        <v>5</v>
      </c>
    </row>
    <row r="17" spans="2:6" ht="18" customHeight="1" x14ac:dyDescent="0.2">
      <c r="B17" s="76" t="s">
        <v>215</v>
      </c>
      <c r="C17" s="82">
        <f>C16*C15</f>
        <v>0.41359999999999997</v>
      </c>
      <c r="D17" s="78"/>
      <c r="E17" s="79" t="s">
        <v>216</v>
      </c>
      <c r="F17" s="6" t="s">
        <v>5</v>
      </c>
    </row>
    <row r="18" spans="2:6" x14ac:dyDescent="0.2">
      <c r="F18" s="6"/>
    </row>
    <row r="19" spans="2:6" x14ac:dyDescent="0.2">
      <c r="F19" s="6"/>
    </row>
    <row r="20" spans="2:6" x14ac:dyDescent="0.2">
      <c r="F20" s="6"/>
    </row>
    <row r="21" spans="2:6" x14ac:dyDescent="0.2">
      <c r="F21" s="6"/>
    </row>
    <row r="22" spans="2:6" x14ac:dyDescent="0.2">
      <c r="F22" s="6"/>
    </row>
    <row r="23" spans="2:6" x14ac:dyDescent="0.2">
      <c r="F23" s="6"/>
    </row>
    <row r="24" spans="2:6" x14ac:dyDescent="0.2">
      <c r="F24" s="6"/>
    </row>
    <row r="25" spans="2:6" x14ac:dyDescent="0.2">
      <c r="F25" s="6"/>
    </row>
    <row r="26" spans="2:6" x14ac:dyDescent="0.2">
      <c r="F26" s="6"/>
    </row>
    <row r="27" spans="2:6" x14ac:dyDescent="0.2">
      <c r="F27" s="6"/>
    </row>
    <row r="28" spans="2:6" x14ac:dyDescent="0.2">
      <c r="F28" s="6"/>
    </row>
    <row r="40" spans="6:6" x14ac:dyDescent="0.2">
      <c r="F40" s="6"/>
    </row>
    <row r="41" spans="6:6" x14ac:dyDescent="0.2">
      <c r="F41" s="6"/>
    </row>
    <row r="42" spans="6:6" x14ac:dyDescent="0.2">
      <c r="F42" s="6"/>
    </row>
    <row r="43" spans="6:6" x14ac:dyDescent="0.2">
      <c r="F43" s="6"/>
    </row>
    <row r="44" spans="6:6" x14ac:dyDescent="0.2">
      <c r="F44" s="6"/>
    </row>
    <row r="45" spans="6:6" x14ac:dyDescent="0.2">
      <c r="F45" s="6"/>
    </row>
    <row r="46" spans="6:6" x14ac:dyDescent="0.2">
      <c r="F46" s="6"/>
    </row>
    <row r="47" spans="6:6" x14ac:dyDescent="0.2">
      <c r="F47" s="6"/>
    </row>
    <row r="48" spans="6:6" x14ac:dyDescent="0.2">
      <c r="F48" s="6"/>
    </row>
    <row r="49" spans="6:6" x14ac:dyDescent="0.2">
      <c r="F49" s="6"/>
    </row>
    <row r="50" spans="6:6" x14ac:dyDescent="0.2">
      <c r="F50" s="6"/>
    </row>
    <row r="51" spans="6:6" x14ac:dyDescent="0.2">
      <c r="F51" s="6"/>
    </row>
    <row r="52" spans="6:6" x14ac:dyDescent="0.2">
      <c r="F52" s="6"/>
    </row>
    <row r="53" spans="6:6" x14ac:dyDescent="0.2">
      <c r="F53" s="6"/>
    </row>
    <row r="54" spans="6:6" x14ac:dyDescent="0.2">
      <c r="F54" s="6"/>
    </row>
    <row r="55" spans="6:6" x14ac:dyDescent="0.2">
      <c r="F55" s="6"/>
    </row>
    <row r="56" spans="6:6" x14ac:dyDescent="0.2">
      <c r="F56" s="6"/>
    </row>
    <row r="57" spans="6:6" x14ac:dyDescent="0.2">
      <c r="F57" s="6"/>
    </row>
  </sheetData>
  <mergeCells count="4">
    <mergeCell ref="A1:E1"/>
    <mergeCell ref="A3:E3"/>
    <mergeCell ref="A7:E7"/>
    <mergeCell ref="A13:E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7"/>
  <sheetViews>
    <sheetView showGridLines="0" zoomScaleNormal="100" workbookViewId="0">
      <selection activeCell="C26" sqref="C26"/>
    </sheetView>
  </sheetViews>
  <sheetFormatPr baseColWidth="10" defaultColWidth="8.6640625" defaultRowHeight="15" x14ac:dyDescent="0.2"/>
  <cols>
    <col min="1" max="1" width="4" customWidth="1"/>
    <col min="2" max="2" width="42" customWidth="1"/>
    <col min="3" max="4" width="20" customWidth="1"/>
    <col min="5" max="5" width="70" customWidth="1"/>
    <col min="6" max="6" width="69" customWidth="1"/>
  </cols>
  <sheetData>
    <row r="1" spans="1:6" ht="21.75" customHeight="1" x14ac:dyDescent="0.2">
      <c r="A1" s="166" t="s">
        <v>217</v>
      </c>
      <c r="B1" s="166"/>
      <c r="C1" s="166"/>
      <c r="D1" s="166"/>
      <c r="E1" s="166"/>
    </row>
    <row r="3" spans="1:6" ht="18" customHeight="1" x14ac:dyDescent="0.2">
      <c r="A3" s="165" t="s">
        <v>218</v>
      </c>
      <c r="B3" s="165"/>
      <c r="C3" s="165"/>
      <c r="D3" s="165"/>
      <c r="E3" s="165"/>
    </row>
    <row r="4" spans="1:6" ht="18" customHeight="1" x14ac:dyDescent="0.2">
      <c r="B4" s="19" t="s">
        <v>219</v>
      </c>
      <c r="C4" s="83">
        <v>1</v>
      </c>
      <c r="D4" s="21"/>
      <c r="E4" s="21"/>
      <c r="F4" s="6"/>
    </row>
    <row r="5" spans="1:6" ht="18" customHeight="1" x14ac:dyDescent="0.2">
      <c r="B5" s="19" t="s">
        <v>220</v>
      </c>
      <c r="C5" s="84">
        <f>'2. Factura CFE sep24'!C18</f>
        <v>1100400</v>
      </c>
      <c r="D5" s="21"/>
      <c r="E5" s="21"/>
      <c r="F5" s="6" t="s">
        <v>5</v>
      </c>
    </row>
    <row r="6" spans="1:6" ht="18" customHeight="1" x14ac:dyDescent="0.2">
      <c r="B6" s="19" t="s">
        <v>221</v>
      </c>
      <c r="C6" s="85">
        <f>C5/1000</f>
        <v>1100.4000000000001</v>
      </c>
      <c r="D6" s="21"/>
      <c r="E6" s="21"/>
      <c r="F6" s="6" t="s">
        <v>5</v>
      </c>
    </row>
    <row r="7" spans="1:6" ht="18" customHeight="1" x14ac:dyDescent="0.2">
      <c r="B7" s="19" t="s">
        <v>222</v>
      </c>
      <c r="C7" s="86">
        <f>'2. Factura CFE sep24'!C43</f>
        <v>3268246.96</v>
      </c>
      <c r="D7" s="21"/>
      <c r="E7" s="21"/>
      <c r="F7" s="6" t="s">
        <v>5</v>
      </c>
    </row>
    <row r="8" spans="1:6" ht="18" customHeight="1" x14ac:dyDescent="0.2">
      <c r="B8" s="19" t="s">
        <v>223</v>
      </c>
      <c r="C8" s="87">
        <f>C7/C5</f>
        <v>2.9700535805161761</v>
      </c>
      <c r="D8" s="21"/>
      <c r="E8" s="22" t="s">
        <v>224</v>
      </c>
      <c r="F8" s="6" t="s">
        <v>5</v>
      </c>
    </row>
    <row r="9" spans="1:6" ht="18" customHeight="1" x14ac:dyDescent="0.2">
      <c r="B9" s="21"/>
      <c r="C9" s="21"/>
      <c r="D9" s="21"/>
      <c r="E9" s="21"/>
    </row>
    <row r="10" spans="1:6" ht="18" customHeight="1" x14ac:dyDescent="0.2">
      <c r="A10" s="165" t="s">
        <v>225</v>
      </c>
      <c r="B10" s="165"/>
      <c r="C10" s="165"/>
      <c r="D10" s="165"/>
      <c r="E10" s="165"/>
      <c r="F10" s="6"/>
    </row>
    <row r="11" spans="1:6" ht="18" customHeight="1" x14ac:dyDescent="0.2">
      <c r="B11" s="19" t="s">
        <v>62</v>
      </c>
      <c r="C11" s="84">
        <f>'2. Factura CFE sep24'!C15</f>
        <v>408800</v>
      </c>
      <c r="D11" s="21"/>
      <c r="E11" s="21"/>
      <c r="F11" s="6" t="s">
        <v>5</v>
      </c>
    </row>
    <row r="12" spans="1:6" ht="18" customHeight="1" x14ac:dyDescent="0.2">
      <c r="B12" s="19" t="s">
        <v>63</v>
      </c>
      <c r="C12" s="84">
        <f>'2. Factura CFE sep24'!C16</f>
        <v>630000</v>
      </c>
      <c r="D12" s="21"/>
      <c r="E12" s="21"/>
      <c r="F12" s="6" t="s">
        <v>5</v>
      </c>
    </row>
    <row r="13" spans="1:6" ht="18" customHeight="1" x14ac:dyDescent="0.2">
      <c r="B13" s="19" t="s">
        <v>64</v>
      </c>
      <c r="C13" s="84">
        <f>'2. Factura CFE sep24'!C17</f>
        <v>61600</v>
      </c>
      <c r="D13" s="21"/>
      <c r="E13" s="21"/>
      <c r="F13" s="6" t="s">
        <v>5</v>
      </c>
    </row>
    <row r="14" spans="1:6" ht="18" customHeight="1" x14ac:dyDescent="0.2">
      <c r="B14" s="19" t="s">
        <v>226</v>
      </c>
      <c r="C14" s="88">
        <f>C11/C5</f>
        <v>0.37150127226463103</v>
      </c>
      <c r="D14" s="21"/>
      <c r="E14" s="21"/>
      <c r="F14" s="6" t="s">
        <v>5</v>
      </c>
    </row>
    <row r="15" spans="1:6" ht="18" customHeight="1" x14ac:dyDescent="0.2">
      <c r="B15" s="19" t="s">
        <v>227</v>
      </c>
      <c r="C15" s="88">
        <f>C12/C5</f>
        <v>0.5725190839694656</v>
      </c>
      <c r="D15" s="21"/>
      <c r="E15" s="21"/>
      <c r="F15" s="6" t="s">
        <v>5</v>
      </c>
    </row>
    <row r="16" spans="1:6" ht="18" customHeight="1" x14ac:dyDescent="0.2">
      <c r="B16" s="19" t="s">
        <v>228</v>
      </c>
      <c r="C16" s="88">
        <f>C13/C5</f>
        <v>5.5979643765903309E-2</v>
      </c>
      <c r="D16" s="21"/>
      <c r="E16" s="21"/>
      <c r="F16" s="6" t="s">
        <v>5</v>
      </c>
    </row>
    <row r="17" spans="1:6" ht="18" customHeight="1" x14ac:dyDescent="0.2">
      <c r="B17" s="21"/>
      <c r="C17" s="21"/>
      <c r="D17" s="21"/>
      <c r="E17" s="21"/>
      <c r="F17" s="6"/>
    </row>
    <row r="18" spans="1:6" ht="18" customHeight="1" x14ac:dyDescent="0.2">
      <c r="A18" s="165" t="s">
        <v>229</v>
      </c>
      <c r="B18" s="165"/>
      <c r="C18" s="165"/>
      <c r="D18" s="165"/>
      <c r="E18" s="165"/>
      <c r="F18" s="6"/>
    </row>
    <row r="19" spans="1:6" ht="18" customHeight="1" x14ac:dyDescent="0.2">
      <c r="B19" s="19" t="s">
        <v>71</v>
      </c>
      <c r="C19" s="29">
        <f>'2. Factura CFE sep24'!C24</f>
        <v>3444</v>
      </c>
      <c r="D19" s="21"/>
      <c r="E19" s="21"/>
      <c r="F19" s="6" t="s">
        <v>5</v>
      </c>
    </row>
    <row r="20" spans="1:6" ht="18" customHeight="1" x14ac:dyDescent="0.2">
      <c r="B20" s="19" t="s">
        <v>70</v>
      </c>
      <c r="C20" s="29">
        <f>'2. Factura CFE sep24'!C23</f>
        <v>3416</v>
      </c>
      <c r="D20" s="21"/>
      <c r="E20" s="21"/>
      <c r="F20" s="6" t="s">
        <v>5</v>
      </c>
    </row>
    <row r="21" spans="1:6" ht="18" customHeight="1" x14ac:dyDescent="0.2">
      <c r="B21" s="19" t="s">
        <v>230</v>
      </c>
      <c r="C21" s="89">
        <f>'2. Factura CFE sep24'!C29</f>
        <v>0.95230000000000004</v>
      </c>
      <c r="D21" s="21"/>
      <c r="E21" s="21"/>
      <c r="F21" s="6" t="s">
        <v>5</v>
      </c>
    </row>
    <row r="22" spans="1:6" ht="18" customHeight="1" x14ac:dyDescent="0.2">
      <c r="B22" s="21"/>
      <c r="C22" s="21"/>
      <c r="D22" s="21"/>
      <c r="E22" s="21"/>
      <c r="F22" s="6"/>
    </row>
    <row r="23" spans="1:6" ht="18" customHeight="1" x14ac:dyDescent="0.2">
      <c r="A23" s="165" t="s">
        <v>231</v>
      </c>
      <c r="B23" s="165"/>
      <c r="C23" s="165"/>
      <c r="D23" s="165"/>
      <c r="E23" s="165"/>
      <c r="F23" s="6"/>
    </row>
    <row r="24" spans="1:6" ht="18" customHeight="1" x14ac:dyDescent="0.2">
      <c r="B24" s="19" t="s">
        <v>232</v>
      </c>
      <c r="C24" s="90">
        <f>'2. Factura CFE sep24'!C48</f>
        <v>0.93030000000000002</v>
      </c>
      <c r="D24" s="21"/>
      <c r="E24" s="21"/>
      <c r="F24" s="6" t="s">
        <v>5</v>
      </c>
    </row>
    <row r="25" spans="1:6" ht="18" customHeight="1" x14ac:dyDescent="0.2">
      <c r="B25" s="19" t="s">
        <v>233</v>
      </c>
      <c r="C25" s="90">
        <f>'2. Factura CFE sep24'!C49</f>
        <v>1.8154999999999999</v>
      </c>
      <c r="D25" s="21"/>
      <c r="E25" s="21"/>
      <c r="F25" s="6" t="s">
        <v>5</v>
      </c>
    </row>
    <row r="26" spans="1:6" ht="18" customHeight="1" x14ac:dyDescent="0.2">
      <c r="B26" s="19" t="s">
        <v>234</v>
      </c>
      <c r="C26" s="90">
        <f>'2. Factura CFE sep24'!C50</f>
        <v>2.0977000000000001</v>
      </c>
      <c r="D26" s="21"/>
      <c r="E26" s="21"/>
      <c r="F26" s="6" t="s">
        <v>5</v>
      </c>
    </row>
    <row r="27" spans="1:6" ht="18" customHeight="1" x14ac:dyDescent="0.2">
      <c r="B27" s="19" t="s">
        <v>235</v>
      </c>
      <c r="C27" s="90">
        <f>'2. Factura CFE sep24'!C51</f>
        <v>1.5024445292620867</v>
      </c>
      <c r="D27" s="21"/>
      <c r="E27" s="21"/>
      <c r="F27" s="6" t="s">
        <v>5</v>
      </c>
    </row>
    <row r="28" spans="1:6" ht="18" customHeight="1" x14ac:dyDescent="0.2">
      <c r="B28" s="21"/>
      <c r="C28" s="21"/>
      <c r="D28" s="21"/>
      <c r="E28" s="21"/>
      <c r="F28" s="6"/>
    </row>
    <row r="29" spans="1:6" ht="18" customHeight="1" x14ac:dyDescent="0.2">
      <c r="A29" s="165" t="s">
        <v>236</v>
      </c>
      <c r="B29" s="165"/>
      <c r="C29" s="165"/>
      <c r="D29" s="165"/>
      <c r="E29" s="165"/>
    </row>
    <row r="30" spans="1:6" ht="18" customHeight="1" x14ac:dyDescent="0.2">
      <c r="B30" s="19" t="s">
        <v>237</v>
      </c>
      <c r="C30" s="86">
        <f>'2. Factura CFE sep24'!C36+'2. Factura CFE sep24'!C37+'2. Factura CFE sep24'!C38</f>
        <v>1653289.9600000002</v>
      </c>
      <c r="D30" s="21"/>
      <c r="E30" s="21"/>
      <c r="F30" s="6" t="s">
        <v>5</v>
      </c>
    </row>
    <row r="31" spans="1:6" ht="18" customHeight="1" x14ac:dyDescent="0.2">
      <c r="B31" s="19" t="s">
        <v>238</v>
      </c>
      <c r="C31" s="86">
        <f>'2. Factura CFE sep24'!C39</f>
        <v>1136336.58</v>
      </c>
      <c r="D31" s="21"/>
      <c r="E31" s="21"/>
      <c r="F31" s="6" t="s">
        <v>5</v>
      </c>
    </row>
    <row r="32" spans="1:6" ht="18" customHeight="1" x14ac:dyDescent="0.2">
      <c r="B32" s="19" t="s">
        <v>239</v>
      </c>
      <c r="C32" s="86">
        <f>'2. Factura CFE sep24'!C33</f>
        <v>272893.5</v>
      </c>
      <c r="D32" s="21"/>
      <c r="E32" s="21"/>
      <c r="F32" s="6" t="s">
        <v>5</v>
      </c>
    </row>
    <row r="33" spans="2:6" ht="18" customHeight="1" x14ac:dyDescent="0.2">
      <c r="B33" s="19" t="s">
        <v>83</v>
      </c>
      <c r="C33" s="86">
        <f>'2. Factura CFE sep24'!C34</f>
        <v>194660.76</v>
      </c>
      <c r="D33" s="21"/>
      <c r="E33" s="21"/>
      <c r="F33" s="6" t="s">
        <v>5</v>
      </c>
    </row>
    <row r="34" spans="2:6" ht="18" customHeight="1" x14ac:dyDescent="0.2">
      <c r="B34" s="19" t="s">
        <v>240</v>
      </c>
      <c r="C34" s="86">
        <f>'2. Factura CFE sep24'!C35+'2. Factura CFE sep24'!C40</f>
        <v>13975.08</v>
      </c>
      <c r="D34" s="21"/>
      <c r="E34" s="21"/>
      <c r="F34" s="6" t="s">
        <v>5</v>
      </c>
    </row>
    <row r="35" spans="2:6" ht="18" customHeight="1" x14ac:dyDescent="0.2">
      <c r="B35" s="19" t="s">
        <v>241</v>
      </c>
      <c r="C35" s="86">
        <f>'2. Factura CFE sep24'!C32</f>
        <v>362.6</v>
      </c>
      <c r="D35" s="21"/>
      <c r="E35" s="21"/>
      <c r="F35" s="6" t="s">
        <v>5</v>
      </c>
    </row>
    <row r="36" spans="2:6" ht="18" customHeight="1" x14ac:dyDescent="0.2">
      <c r="B36" s="19" t="s">
        <v>242</v>
      </c>
      <c r="C36" s="86">
        <f>'2. Factura CFE sep24'!C42</f>
        <v>-3271.52</v>
      </c>
      <c r="D36" s="21"/>
      <c r="E36" s="21"/>
      <c r="F36" s="6" t="s">
        <v>5</v>
      </c>
    </row>
    <row r="37" spans="2:6" ht="18" customHeight="1" x14ac:dyDescent="0.2">
      <c r="B37" s="27" t="s">
        <v>243</v>
      </c>
      <c r="C37" s="34">
        <f>SUM(C30:C36)</f>
        <v>3268246.96</v>
      </c>
      <c r="D37" s="21"/>
      <c r="E37" s="21"/>
      <c r="F37" s="6" t="s">
        <v>244</v>
      </c>
    </row>
    <row r="40" spans="2:6" x14ac:dyDescent="0.2">
      <c r="F40" s="6"/>
    </row>
    <row r="41" spans="2:6" x14ac:dyDescent="0.2">
      <c r="F41" s="6"/>
    </row>
    <row r="42" spans="2:6" x14ac:dyDescent="0.2">
      <c r="F42" s="6"/>
    </row>
    <row r="43" spans="2:6" x14ac:dyDescent="0.2">
      <c r="F43" s="6"/>
    </row>
    <row r="44" spans="2:6" x14ac:dyDescent="0.2">
      <c r="F44" s="6"/>
    </row>
    <row r="45" spans="2:6" x14ac:dyDescent="0.2">
      <c r="F45" s="6"/>
    </row>
    <row r="46" spans="2:6" x14ac:dyDescent="0.2">
      <c r="F46" s="6"/>
    </row>
    <row r="47" spans="2:6" x14ac:dyDescent="0.2">
      <c r="F47" s="6"/>
    </row>
    <row r="48" spans="2:6" x14ac:dyDescent="0.2">
      <c r="F48" s="6"/>
    </row>
    <row r="49" spans="6:6" x14ac:dyDescent="0.2">
      <c r="F49" s="6"/>
    </row>
    <row r="50" spans="6:6" x14ac:dyDescent="0.2">
      <c r="F50" s="6"/>
    </row>
    <row r="51" spans="6:6" x14ac:dyDescent="0.2">
      <c r="F51" s="6"/>
    </row>
    <row r="52" spans="6:6" x14ac:dyDescent="0.2">
      <c r="F52" s="6"/>
    </row>
    <row r="53" spans="6:6" x14ac:dyDescent="0.2">
      <c r="F53" s="6"/>
    </row>
    <row r="54" spans="6:6" x14ac:dyDescent="0.2">
      <c r="F54" s="6"/>
    </row>
    <row r="55" spans="6:6" x14ac:dyDescent="0.2">
      <c r="F55" s="6"/>
    </row>
    <row r="56" spans="6:6" x14ac:dyDescent="0.2">
      <c r="F56" s="6"/>
    </row>
    <row r="57" spans="6:6" x14ac:dyDescent="0.2">
      <c r="F57" s="6"/>
    </row>
  </sheetData>
  <mergeCells count="6">
    <mergeCell ref="A29:E29"/>
    <mergeCell ref="A1:E1"/>
    <mergeCell ref="A3:E3"/>
    <mergeCell ref="A10:E10"/>
    <mergeCell ref="A18:E18"/>
    <mergeCell ref="A23:E2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8"/>
  <sheetViews>
    <sheetView showGridLines="0" zoomScaleNormal="100" workbookViewId="0">
      <selection activeCell="C5" sqref="C5"/>
    </sheetView>
  </sheetViews>
  <sheetFormatPr baseColWidth="10" defaultColWidth="8.6640625" defaultRowHeight="15" x14ac:dyDescent="0.2"/>
  <cols>
    <col min="1" max="1" width="4" customWidth="1"/>
    <col min="2" max="2" width="42" customWidth="1"/>
    <col min="3" max="4" width="20" customWidth="1"/>
    <col min="5" max="5" width="70" customWidth="1"/>
  </cols>
  <sheetData>
    <row r="1" spans="1:5" ht="21.75" customHeight="1" x14ac:dyDescent="0.2">
      <c r="A1" s="166" t="s">
        <v>245</v>
      </c>
      <c r="B1" s="166"/>
      <c r="C1" s="166"/>
      <c r="D1" s="166"/>
      <c r="E1" s="166"/>
    </row>
    <row r="3" spans="1:5" ht="18" customHeight="1" x14ac:dyDescent="0.2">
      <c r="A3" s="165" t="s">
        <v>218</v>
      </c>
      <c r="B3" s="165"/>
      <c r="C3" s="165"/>
      <c r="D3" s="165"/>
      <c r="E3" s="165"/>
    </row>
    <row r="4" spans="1:5" ht="18" customHeight="1" x14ac:dyDescent="0.2">
      <c r="B4" s="47" t="s">
        <v>219</v>
      </c>
      <c r="C4" s="91">
        <v>1</v>
      </c>
      <c r="D4" s="49"/>
      <c r="E4" s="49"/>
    </row>
    <row r="5" spans="1:5" ht="18" customHeight="1" x14ac:dyDescent="0.2">
      <c r="B5" s="47" t="s">
        <v>220</v>
      </c>
      <c r="C5" s="92">
        <f>'3. Factura PPA sep24'!C15</f>
        <v>2060135</v>
      </c>
      <c r="D5" s="49"/>
      <c r="E5" s="49"/>
    </row>
    <row r="6" spans="1:5" ht="18" customHeight="1" x14ac:dyDescent="0.2">
      <c r="B6" s="47" t="s">
        <v>221</v>
      </c>
      <c r="C6" s="53">
        <f>C5/1000</f>
        <v>2060.1350000000002</v>
      </c>
      <c r="D6" s="49"/>
      <c r="E6" s="49"/>
    </row>
    <row r="7" spans="1:5" ht="18" customHeight="1" x14ac:dyDescent="0.2">
      <c r="B7" s="47" t="s">
        <v>222</v>
      </c>
      <c r="C7" s="93">
        <f>'3. Factura PPA sep24'!C20</f>
        <v>4183310.13</v>
      </c>
      <c r="D7" s="49"/>
      <c r="E7" s="49"/>
    </row>
    <row r="8" spans="1:5" ht="18" customHeight="1" x14ac:dyDescent="0.2">
      <c r="B8" s="47" t="s">
        <v>246</v>
      </c>
      <c r="C8" s="94">
        <f>C7/C5</f>
        <v>2.0305999995145947</v>
      </c>
      <c r="D8" s="49"/>
      <c r="E8" s="52" t="s">
        <v>247</v>
      </c>
    </row>
    <row r="9" spans="1:5" ht="18" customHeight="1" x14ac:dyDescent="0.2">
      <c r="B9" s="49"/>
      <c r="C9" s="49"/>
      <c r="D9" s="49"/>
      <c r="E9" s="49"/>
    </row>
    <row r="10" spans="1:5" ht="18" customHeight="1" x14ac:dyDescent="0.2">
      <c r="A10" s="165" t="s">
        <v>248</v>
      </c>
      <c r="B10" s="165"/>
      <c r="C10" s="165"/>
      <c r="D10" s="165"/>
      <c r="E10" s="165"/>
    </row>
    <row r="11" spans="1:5" ht="18" customHeight="1" x14ac:dyDescent="0.2">
      <c r="B11" s="47" t="s">
        <v>122</v>
      </c>
      <c r="C11" s="95" t="str">
        <f>'3. Factura PPA sep24'!C4</f>
        <v>GENERACION INDUSTRIAL</v>
      </c>
      <c r="D11" s="49"/>
      <c r="E11" s="49"/>
    </row>
    <row r="12" spans="1:5" ht="18" customHeight="1" x14ac:dyDescent="0.2">
      <c r="B12" s="47" t="s">
        <v>249</v>
      </c>
      <c r="C12" s="96">
        <f>'3. Factura PPA sep24'!C28</f>
        <v>71.8</v>
      </c>
      <c r="D12" s="49"/>
      <c r="E12" s="49"/>
    </row>
    <row r="13" spans="1:5" ht="18" customHeight="1" x14ac:dyDescent="0.2">
      <c r="B13" s="47" t="s">
        <v>250</v>
      </c>
      <c r="C13" s="97">
        <f>'3. Factura PPA sep24'!C31</f>
        <v>4075</v>
      </c>
      <c r="D13" s="49"/>
      <c r="E13" s="49"/>
    </row>
    <row r="14" spans="1:5" ht="18" customHeight="1" x14ac:dyDescent="0.2">
      <c r="B14" s="47" t="s">
        <v>153</v>
      </c>
      <c r="C14" s="98">
        <f>'3. Factura PPA sep24'!C30</f>
        <v>26987.82</v>
      </c>
      <c r="D14" s="49"/>
      <c r="E14" s="49"/>
    </row>
    <row r="15" spans="1:5" ht="18" customHeight="1" x14ac:dyDescent="0.2">
      <c r="B15" s="49"/>
      <c r="C15" s="49"/>
      <c r="D15" s="49"/>
      <c r="E15" s="49"/>
    </row>
    <row r="16" spans="1:5" ht="18" customHeight="1" x14ac:dyDescent="0.2">
      <c r="A16" s="165" t="s">
        <v>251</v>
      </c>
      <c r="B16" s="165"/>
      <c r="C16" s="165"/>
      <c r="D16" s="165"/>
      <c r="E16" s="165"/>
    </row>
    <row r="17" spans="1:5" ht="18" customHeight="1" x14ac:dyDescent="0.2">
      <c r="B17" s="47" t="s">
        <v>157</v>
      </c>
      <c r="C17" s="98">
        <f>'3. Factura PPA sep24'!C33</f>
        <v>2333</v>
      </c>
      <c r="D17" s="49"/>
      <c r="E17" s="49"/>
    </row>
    <row r="18" spans="1:5" ht="18" customHeight="1" x14ac:dyDescent="0.2">
      <c r="B18" s="47" t="s">
        <v>252</v>
      </c>
      <c r="C18" s="53">
        <f>C6</f>
        <v>2060.1350000000002</v>
      </c>
      <c r="D18" s="49"/>
      <c r="E18" s="49"/>
    </row>
    <row r="19" spans="1:5" ht="18" customHeight="1" x14ac:dyDescent="0.2">
      <c r="B19" s="47" t="s">
        <v>253</v>
      </c>
      <c r="C19" s="99">
        <f>C18/C17</f>
        <v>0.88304114873553374</v>
      </c>
      <c r="D19" s="49"/>
      <c r="E19" s="52" t="s">
        <v>254</v>
      </c>
    </row>
    <row r="20" spans="1:5" ht="18" customHeight="1" x14ac:dyDescent="0.2">
      <c r="B20" s="47" t="s">
        <v>255</v>
      </c>
      <c r="C20" s="53">
        <f>C17*1.1</f>
        <v>2566.3000000000002</v>
      </c>
      <c r="D20" s="49"/>
      <c r="E20" s="49"/>
    </row>
    <row r="21" spans="1:5" ht="18" customHeight="1" x14ac:dyDescent="0.2">
      <c r="B21" s="47" t="s">
        <v>256</v>
      </c>
      <c r="C21" s="53">
        <f>MAX(0,C18-C20)</f>
        <v>0</v>
      </c>
      <c r="D21" s="49"/>
      <c r="E21" s="49"/>
    </row>
    <row r="22" spans="1:5" ht="18" customHeight="1" x14ac:dyDescent="0.2">
      <c r="B22" s="57" t="s">
        <v>257</v>
      </c>
      <c r="C22" s="100" t="str">
        <f>IF(C21&gt;0,"EXCEDENTE","Dentro de banda")</f>
        <v>Dentro de banda</v>
      </c>
      <c r="D22" s="49"/>
      <c r="E22" s="49"/>
    </row>
    <row r="23" spans="1:5" ht="18" customHeight="1" x14ac:dyDescent="0.2">
      <c r="B23" s="49"/>
      <c r="C23" s="49"/>
      <c r="D23" s="49"/>
      <c r="E23" s="49"/>
    </row>
    <row r="24" spans="1:5" ht="18" customHeight="1" x14ac:dyDescent="0.2">
      <c r="A24" s="165" t="s">
        <v>258</v>
      </c>
      <c r="B24" s="165"/>
      <c r="C24" s="165"/>
      <c r="D24" s="165"/>
      <c r="E24" s="165"/>
    </row>
    <row r="25" spans="1:5" ht="18" customHeight="1" x14ac:dyDescent="0.2">
      <c r="B25" s="52" t="s">
        <v>259</v>
      </c>
      <c r="C25" s="49"/>
      <c r="D25" s="49"/>
      <c r="E25" s="49"/>
    </row>
    <row r="26" spans="1:5" ht="18" customHeight="1" x14ac:dyDescent="0.2">
      <c r="B26" s="52" t="s">
        <v>260</v>
      </c>
      <c r="C26" s="49"/>
      <c r="D26" s="49"/>
      <c r="E26" s="49"/>
    </row>
    <row r="27" spans="1:5" ht="18" customHeight="1" x14ac:dyDescent="0.2">
      <c r="B27" s="52" t="s">
        <v>261</v>
      </c>
      <c r="C27" s="49"/>
      <c r="D27" s="49"/>
      <c r="E27" s="49"/>
    </row>
    <row r="28" spans="1:5" ht="18" customHeight="1" x14ac:dyDescent="0.2">
      <c r="B28" s="52" t="s">
        <v>262</v>
      </c>
      <c r="C28" s="49"/>
      <c r="D28" s="49"/>
      <c r="E28" s="49"/>
    </row>
  </sheetData>
  <mergeCells count="5">
    <mergeCell ref="A1:E1"/>
    <mergeCell ref="A3:E3"/>
    <mergeCell ref="A10:E10"/>
    <mergeCell ref="A16:E16"/>
    <mergeCell ref="A24:E2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7"/>
  <sheetViews>
    <sheetView showGridLines="0" topLeftCell="A48" zoomScale="125" zoomScaleNormal="125" workbookViewId="0">
      <selection activeCell="C51" sqref="C51"/>
    </sheetView>
  </sheetViews>
  <sheetFormatPr baseColWidth="10" defaultColWidth="8.6640625" defaultRowHeight="15" x14ac:dyDescent="0.2"/>
  <cols>
    <col min="1" max="1" width="4" customWidth="1"/>
    <col min="2" max="2" width="48" customWidth="1"/>
    <col min="3" max="4" width="20" customWidth="1"/>
    <col min="5" max="5" width="75" customWidth="1"/>
    <col min="6" max="6" width="69" customWidth="1"/>
  </cols>
  <sheetData>
    <row r="1" spans="1:6" ht="21.75" customHeight="1" x14ac:dyDescent="0.2">
      <c r="A1" s="166" t="s">
        <v>263</v>
      </c>
      <c r="B1" s="166"/>
      <c r="C1" s="166"/>
      <c r="D1" s="166"/>
      <c r="E1" s="166"/>
    </row>
    <row r="3" spans="1:6" ht="16.5" customHeight="1" x14ac:dyDescent="0.2">
      <c r="A3" s="165" t="s">
        <v>264</v>
      </c>
      <c r="B3" s="165"/>
      <c r="C3" s="165"/>
      <c r="D3" s="165"/>
      <c r="E3" s="165"/>
    </row>
    <row r="4" spans="1:6" ht="16.5" customHeight="1" x14ac:dyDescent="0.2">
      <c r="B4" s="19" t="s">
        <v>265</v>
      </c>
      <c r="C4" s="89">
        <f>'1. Inputs'!C4</f>
        <v>0.75</v>
      </c>
      <c r="D4" s="21"/>
      <c r="E4" s="21"/>
      <c r="F4" s="6" t="s">
        <v>5</v>
      </c>
    </row>
    <row r="5" spans="1:6" ht="16.5" customHeight="1" x14ac:dyDescent="0.2">
      <c r="B5" s="19" t="s">
        <v>266</v>
      </c>
      <c r="C5" s="89">
        <f>'1. Inputs'!C5</f>
        <v>0.4</v>
      </c>
      <c r="D5" s="21"/>
      <c r="E5" s="21"/>
      <c r="F5" s="6" t="s">
        <v>5</v>
      </c>
    </row>
    <row r="6" spans="1:6" ht="16.5" customHeight="1" x14ac:dyDescent="0.2">
      <c r="B6" s="19" t="s">
        <v>267</v>
      </c>
      <c r="C6" s="89">
        <f>'1. Inputs'!C6</f>
        <v>0.25</v>
      </c>
      <c r="D6" s="21"/>
      <c r="E6" s="21"/>
      <c r="F6" s="6" t="s">
        <v>5</v>
      </c>
    </row>
    <row r="7" spans="1:6" ht="16.5" customHeight="1" x14ac:dyDescent="0.2">
      <c r="B7" s="19" t="s">
        <v>268</v>
      </c>
      <c r="C7" s="89">
        <f>'1. Inputs'!C7</f>
        <v>0.85</v>
      </c>
      <c r="D7" s="21"/>
      <c r="E7" s="21"/>
      <c r="F7" s="6" t="s">
        <v>5</v>
      </c>
    </row>
    <row r="8" spans="1:6" ht="16.5" customHeight="1" x14ac:dyDescent="0.2">
      <c r="B8" s="21"/>
      <c r="C8" s="21"/>
      <c r="D8" s="21"/>
      <c r="E8" s="21"/>
      <c r="F8" s="6"/>
    </row>
    <row r="9" spans="1:6" ht="16.5" customHeight="1" x14ac:dyDescent="0.2">
      <c r="A9" s="165" t="s">
        <v>269</v>
      </c>
      <c r="B9" s="165"/>
      <c r="C9" s="165"/>
      <c r="D9" s="165"/>
      <c r="E9" s="165"/>
    </row>
    <row r="10" spans="1:6" ht="16.5" customHeight="1" x14ac:dyDescent="0.2">
      <c r="B10" s="19" t="s">
        <v>270</v>
      </c>
      <c r="C10" s="84">
        <f>'2. Factura CFE sep24'!C18</f>
        <v>1100400</v>
      </c>
      <c r="D10" s="21"/>
      <c r="E10" s="21"/>
      <c r="F10" s="6" t="s">
        <v>5</v>
      </c>
    </row>
    <row r="11" spans="1:6" ht="16.5" customHeight="1" x14ac:dyDescent="0.2">
      <c r="B11" s="19" t="s">
        <v>271</v>
      </c>
      <c r="C11" s="101">
        <f>C10*C4</f>
        <v>825300</v>
      </c>
      <c r="D11" s="21"/>
      <c r="E11" s="22" t="s">
        <v>272</v>
      </c>
      <c r="F11" s="6" t="s">
        <v>5</v>
      </c>
    </row>
    <row r="12" spans="1:6" ht="16.5" customHeight="1" x14ac:dyDescent="0.2">
      <c r="B12" s="19" t="s">
        <v>273</v>
      </c>
      <c r="C12" s="101">
        <f>C10-C11</f>
        <v>275100</v>
      </c>
      <c r="D12" s="21"/>
      <c r="E12" s="22" t="s">
        <v>274</v>
      </c>
      <c r="F12" s="6" t="s">
        <v>5</v>
      </c>
    </row>
    <row r="13" spans="1:6" ht="16.5" customHeight="1" x14ac:dyDescent="0.2">
      <c r="B13" s="21"/>
      <c r="C13" s="21"/>
      <c r="D13" s="21"/>
      <c r="E13" s="21"/>
      <c r="F13" s="6"/>
    </row>
    <row r="14" spans="1:6" ht="16.5" customHeight="1" x14ac:dyDescent="0.2">
      <c r="A14" s="165" t="s">
        <v>275</v>
      </c>
      <c r="B14" s="165"/>
      <c r="C14" s="165"/>
      <c r="D14" s="165"/>
      <c r="E14" s="165"/>
      <c r="F14" s="6"/>
    </row>
    <row r="15" spans="1:6" ht="16.5" customHeight="1" x14ac:dyDescent="0.2">
      <c r="B15" s="22" t="s">
        <v>276</v>
      </c>
      <c r="C15" s="21"/>
      <c r="D15" s="21"/>
      <c r="E15" s="21"/>
      <c r="F15" s="6" t="s">
        <v>5</v>
      </c>
    </row>
    <row r="16" spans="1:6" ht="16.5" customHeight="1" x14ac:dyDescent="0.2">
      <c r="B16" s="19" t="s">
        <v>277</v>
      </c>
      <c r="C16" s="84">
        <f>MIN('2. Factura CFE sep24'!C17,C11)</f>
        <v>61600</v>
      </c>
      <c r="D16" s="21"/>
      <c r="E16" s="21"/>
      <c r="F16" s="6" t="s">
        <v>5</v>
      </c>
    </row>
    <row r="17" spans="1:6" ht="16.5" customHeight="1" x14ac:dyDescent="0.2">
      <c r="B17" s="19" t="s">
        <v>278</v>
      </c>
      <c r="C17" s="101">
        <f>MAX(0,C11-C16)</f>
        <v>763700</v>
      </c>
      <c r="D17" s="21"/>
      <c r="E17" s="21"/>
      <c r="F17" s="6" t="s">
        <v>5</v>
      </c>
    </row>
    <row r="18" spans="1:6" ht="16.5" customHeight="1" x14ac:dyDescent="0.2">
      <c r="B18" s="19" t="s">
        <v>279</v>
      </c>
      <c r="C18" s="84">
        <f>MIN('2. Factura CFE sep24'!C16,C17)</f>
        <v>630000</v>
      </c>
      <c r="D18" s="21"/>
      <c r="E18" s="21"/>
      <c r="F18" s="6" t="s">
        <v>5</v>
      </c>
    </row>
    <row r="19" spans="1:6" ht="16.5" customHeight="1" x14ac:dyDescent="0.2">
      <c r="B19" s="19" t="s">
        <v>280</v>
      </c>
      <c r="C19" s="101">
        <f>MAX(0,C17-C18)</f>
        <v>133700</v>
      </c>
      <c r="D19" s="21"/>
      <c r="E19" s="21"/>
      <c r="F19" s="6" t="s">
        <v>5</v>
      </c>
    </row>
    <row r="20" spans="1:6" ht="16.5" customHeight="1" x14ac:dyDescent="0.2">
      <c r="B20" s="19" t="s">
        <v>281</v>
      </c>
      <c r="C20" s="84">
        <f>MIN('2. Factura CFE sep24'!C15,C19)</f>
        <v>133700</v>
      </c>
      <c r="D20" s="21"/>
      <c r="E20" s="21"/>
      <c r="F20" s="6"/>
    </row>
    <row r="21" spans="1:6" ht="16.5" customHeight="1" x14ac:dyDescent="0.2">
      <c r="B21" s="21"/>
      <c r="C21" s="21"/>
      <c r="D21" s="21"/>
      <c r="E21" s="21"/>
      <c r="F21" s="6"/>
    </row>
    <row r="22" spans="1:6" ht="16.5" customHeight="1" x14ac:dyDescent="0.2">
      <c r="A22" s="165" t="s">
        <v>282</v>
      </c>
      <c r="B22" s="165"/>
      <c r="C22" s="165"/>
      <c r="D22" s="165"/>
      <c r="E22" s="165"/>
      <c r="F22" s="6"/>
    </row>
    <row r="23" spans="1:6" ht="16.5" customHeight="1" x14ac:dyDescent="0.2">
      <c r="B23" s="19" t="s">
        <v>283</v>
      </c>
      <c r="C23" s="86">
        <f>C16*'2. Factura CFE sep24'!C50</f>
        <v>129218.32</v>
      </c>
      <c r="D23" s="21"/>
      <c r="E23" s="21"/>
      <c r="F23" s="6" t="s">
        <v>5</v>
      </c>
    </row>
    <row r="24" spans="1:6" ht="16.5" customHeight="1" x14ac:dyDescent="0.2">
      <c r="B24" s="19" t="s">
        <v>284</v>
      </c>
      <c r="C24" s="86">
        <f>C18*'2. Factura CFE sep24'!C49</f>
        <v>1143765</v>
      </c>
      <c r="D24" s="21"/>
      <c r="E24" s="21"/>
      <c r="F24" s="6" t="s">
        <v>5</v>
      </c>
    </row>
    <row r="25" spans="1:6" ht="16.5" customHeight="1" x14ac:dyDescent="0.2">
      <c r="B25" s="19" t="s">
        <v>285</v>
      </c>
      <c r="C25" s="86">
        <f>C20*'2. Factura CFE sep24'!C48</f>
        <v>124381.11</v>
      </c>
      <c r="D25" s="21"/>
      <c r="E25" s="21"/>
      <c r="F25" s="6" t="s">
        <v>5</v>
      </c>
    </row>
    <row r="26" spans="1:6" ht="16.5" customHeight="1" x14ac:dyDescent="0.2">
      <c r="B26" s="27" t="s">
        <v>286</v>
      </c>
      <c r="C26" s="34">
        <f>SUM(C23:C25)</f>
        <v>1397364.4300000002</v>
      </c>
      <c r="D26" s="21"/>
      <c r="E26" s="21"/>
      <c r="F26" s="6" t="s">
        <v>5</v>
      </c>
    </row>
    <row r="27" spans="1:6" ht="16.5" customHeight="1" x14ac:dyDescent="0.2">
      <c r="B27" s="21"/>
      <c r="C27" s="21"/>
      <c r="D27" s="21"/>
      <c r="E27" s="21"/>
      <c r="F27" s="6"/>
    </row>
    <row r="28" spans="1:6" ht="16.5" customHeight="1" x14ac:dyDescent="0.2">
      <c r="A28" s="165" t="s">
        <v>287</v>
      </c>
      <c r="B28" s="165"/>
      <c r="C28" s="165"/>
      <c r="D28" s="165"/>
      <c r="E28" s="165"/>
      <c r="F28" s="6"/>
    </row>
    <row r="29" spans="1:6" ht="16.5" customHeight="1" x14ac:dyDescent="0.2">
      <c r="B29" s="19" t="s">
        <v>288</v>
      </c>
      <c r="C29" s="29">
        <f>'2. Factura CFE sep24'!C54</f>
        <v>2682</v>
      </c>
      <c r="D29" s="21"/>
      <c r="E29" s="21"/>
      <c r="F29" s="6" t="s">
        <v>5</v>
      </c>
    </row>
    <row r="30" spans="1:6" ht="16.5" customHeight="1" x14ac:dyDescent="0.2">
      <c r="B30" s="19" t="s">
        <v>109</v>
      </c>
      <c r="C30" s="102">
        <f>'2. Factura CFE sep24'!C55</f>
        <v>423.69000000000005</v>
      </c>
      <c r="D30" s="21"/>
      <c r="E30" s="21"/>
      <c r="F30" s="6" t="s">
        <v>5</v>
      </c>
    </row>
    <row r="31" spans="1:6" ht="16.5" customHeight="1" x14ac:dyDescent="0.2">
      <c r="B31" s="19" t="s">
        <v>289</v>
      </c>
      <c r="C31" s="29">
        <f>CEILING(C12/('1. Inputs'!C12*'1. Inputs'!C13),1)</f>
        <v>671</v>
      </c>
      <c r="D31" s="21"/>
      <c r="E31" s="22" t="s">
        <v>290</v>
      </c>
      <c r="F31" s="6" t="s">
        <v>291</v>
      </c>
    </row>
    <row r="32" spans="1:6" ht="16.5" customHeight="1" x14ac:dyDescent="0.2">
      <c r="B32" s="19" t="s">
        <v>292</v>
      </c>
      <c r="C32" s="29">
        <f>MIN('2. Factura CFE sep24'!C23,C31)</f>
        <v>671</v>
      </c>
      <c r="D32" s="21"/>
      <c r="E32" s="22" t="s">
        <v>293</v>
      </c>
      <c r="F32" s="6" t="s">
        <v>5</v>
      </c>
    </row>
    <row r="33" spans="1:6" ht="16.5" customHeight="1" x14ac:dyDescent="0.2">
      <c r="B33" s="19" t="s">
        <v>294</v>
      </c>
      <c r="C33" s="38">
        <f>MAX(0,C29-C32)</f>
        <v>2011</v>
      </c>
      <c r="D33" s="21"/>
      <c r="E33" s="21"/>
      <c r="F33" s="6" t="s">
        <v>5</v>
      </c>
    </row>
    <row r="34" spans="1:6" ht="16.5" customHeight="1" x14ac:dyDescent="0.2">
      <c r="B34" s="27" t="s">
        <v>295</v>
      </c>
      <c r="C34" s="34">
        <f>C33*C30</f>
        <v>852040.59000000008</v>
      </c>
      <c r="D34" s="21"/>
      <c r="E34" s="21"/>
      <c r="F34" s="6" t="s">
        <v>5</v>
      </c>
    </row>
    <row r="35" spans="1:6" ht="16.5" customHeight="1" x14ac:dyDescent="0.2">
      <c r="B35" s="21"/>
      <c r="C35" s="21"/>
      <c r="D35" s="21"/>
      <c r="E35" s="21"/>
      <c r="F35" s="6"/>
    </row>
    <row r="36" spans="1:6" ht="16.5" customHeight="1" x14ac:dyDescent="0.2">
      <c r="A36" s="165" t="s">
        <v>296</v>
      </c>
      <c r="B36" s="165"/>
      <c r="C36" s="165"/>
      <c r="D36" s="165"/>
      <c r="E36" s="165"/>
      <c r="F36" s="6"/>
    </row>
    <row r="37" spans="1:6" ht="16.5" customHeight="1" x14ac:dyDescent="0.2">
      <c r="B37" s="19" t="s">
        <v>297</v>
      </c>
      <c r="C37" s="29">
        <f>'2. Factura CFE sep24'!C56</f>
        <v>2682</v>
      </c>
      <c r="D37" s="21"/>
      <c r="E37" s="21"/>
      <c r="F37" s="6" t="s">
        <v>5</v>
      </c>
    </row>
    <row r="38" spans="1:6" ht="16.5" customHeight="1" x14ac:dyDescent="0.2">
      <c r="B38" s="19" t="s">
        <v>113</v>
      </c>
      <c r="C38" s="102">
        <f>'2. Factura CFE sep24'!C57</f>
        <v>101.75</v>
      </c>
      <c r="D38" s="21"/>
      <c r="E38" s="21"/>
      <c r="F38" s="6" t="s">
        <v>5</v>
      </c>
    </row>
    <row r="39" spans="1:6" ht="16.5" customHeight="1" x14ac:dyDescent="0.2">
      <c r="B39" s="19" t="s">
        <v>298</v>
      </c>
      <c r="C39" s="29">
        <f>MIN('2. Factura CFE sep24'!C24,C31)</f>
        <v>671</v>
      </c>
      <c r="D39" s="21"/>
      <c r="E39" s="22" t="s">
        <v>299</v>
      </c>
      <c r="F39" s="6" t="s">
        <v>5</v>
      </c>
    </row>
    <row r="40" spans="1:6" ht="16.5" customHeight="1" x14ac:dyDescent="0.2">
      <c r="B40" s="19" t="s">
        <v>300</v>
      </c>
      <c r="C40" s="38">
        <f>MAX(0,C37-C39)</f>
        <v>2011</v>
      </c>
      <c r="D40" s="21"/>
      <c r="E40" s="21"/>
      <c r="F40" s="6" t="s">
        <v>5</v>
      </c>
    </row>
    <row r="41" spans="1:6" ht="16.5" customHeight="1" x14ac:dyDescent="0.2">
      <c r="B41" s="27" t="s">
        <v>301</v>
      </c>
      <c r="C41" s="34">
        <f>C40*C38</f>
        <v>204619.25</v>
      </c>
      <c r="D41" s="21"/>
      <c r="E41" s="21"/>
      <c r="F41" s="6" t="s">
        <v>5</v>
      </c>
    </row>
    <row r="42" spans="1:6" ht="16.5" customHeight="1" x14ac:dyDescent="0.2">
      <c r="B42" s="21"/>
      <c r="C42" s="21"/>
      <c r="D42" s="21"/>
      <c r="E42" s="21"/>
      <c r="F42" s="6"/>
    </row>
    <row r="43" spans="1:6" ht="16.5" customHeight="1" x14ac:dyDescent="0.2">
      <c r="A43" s="167" t="s">
        <v>302</v>
      </c>
      <c r="B43" s="167"/>
      <c r="C43" s="167"/>
      <c r="D43" s="167"/>
      <c r="E43" s="167"/>
      <c r="F43" s="168" t="s">
        <v>303</v>
      </c>
    </row>
    <row r="44" spans="1:6" ht="16.5" customHeight="1" x14ac:dyDescent="0.2">
      <c r="A44" s="41"/>
      <c r="B44" s="42" t="s">
        <v>304</v>
      </c>
      <c r="C44" s="103">
        <f>'2. Factura CFE sep24'!C18</f>
        <v>1100400</v>
      </c>
      <c r="D44" s="44"/>
      <c r="E44" s="44"/>
      <c r="F44" s="168"/>
    </row>
    <row r="45" spans="1:6" ht="16.5" customHeight="1" x14ac:dyDescent="0.2">
      <c r="A45" s="41"/>
      <c r="B45" s="42" t="s">
        <v>273</v>
      </c>
      <c r="C45" s="103">
        <f>C12</f>
        <v>275100</v>
      </c>
      <c r="D45" s="44"/>
      <c r="E45" s="44"/>
      <c r="F45" s="168"/>
    </row>
    <row r="46" spans="1:6" ht="16.5" customHeight="1" x14ac:dyDescent="0.2">
      <c r="A46" s="41"/>
      <c r="B46" s="42" t="s">
        <v>305</v>
      </c>
      <c r="C46" s="103">
        <f>C44-C45</f>
        <v>825300</v>
      </c>
      <c r="D46" s="44"/>
      <c r="E46" s="44"/>
      <c r="F46" s="168"/>
    </row>
    <row r="47" spans="1:6" ht="16.5" customHeight="1" x14ac:dyDescent="0.2">
      <c r="A47" s="41"/>
      <c r="B47" s="42" t="s">
        <v>306</v>
      </c>
      <c r="C47" s="43">
        <f>'2. Factura CFE sep24'!C63</f>
        <v>0.18960000000000002</v>
      </c>
      <c r="D47" s="44"/>
      <c r="E47" s="44"/>
      <c r="F47" s="168"/>
    </row>
    <row r="48" spans="1:6" ht="16.5" customHeight="1" x14ac:dyDescent="0.2">
      <c r="A48" s="41"/>
      <c r="B48" s="104" t="s">
        <v>307</v>
      </c>
      <c r="C48" s="105">
        <f>C47*C46</f>
        <v>156476.88</v>
      </c>
      <c r="D48" s="44"/>
      <c r="E48" s="44"/>
      <c r="F48" s="168"/>
    </row>
    <row r="49" spans="1:6" ht="16.5" customHeight="1" x14ac:dyDescent="0.2">
      <c r="B49" s="21"/>
      <c r="C49" s="21"/>
      <c r="D49" s="21"/>
      <c r="E49" s="21"/>
      <c r="F49" s="6"/>
    </row>
    <row r="50" spans="1:6" ht="16.5" customHeight="1" x14ac:dyDescent="0.2">
      <c r="A50" s="170" t="s">
        <v>308</v>
      </c>
      <c r="B50" s="170"/>
      <c r="C50" s="170"/>
      <c r="D50" s="170"/>
      <c r="E50" s="170"/>
      <c r="F50" s="6" t="s">
        <v>309</v>
      </c>
    </row>
    <row r="51" spans="1:6" ht="16.5" customHeight="1" x14ac:dyDescent="0.2">
      <c r="B51" s="27" t="s">
        <v>310</v>
      </c>
      <c r="C51" s="34">
        <f>C26+C34+C41+C48</f>
        <v>2610501.1500000004</v>
      </c>
      <c r="D51" s="21"/>
      <c r="E51" s="21"/>
      <c r="F51" s="6"/>
    </row>
    <row r="52" spans="1:6" ht="16.5" customHeight="1" x14ac:dyDescent="0.2">
      <c r="B52" s="21"/>
      <c r="C52" s="21"/>
      <c r="D52" s="21"/>
      <c r="E52" s="21"/>
      <c r="F52" s="6"/>
    </row>
    <row r="53" spans="1:6" ht="16.5" customHeight="1" x14ac:dyDescent="0.2">
      <c r="A53" s="165" t="s">
        <v>311</v>
      </c>
      <c r="B53" s="165"/>
      <c r="C53" s="165"/>
      <c r="D53" s="165"/>
      <c r="E53" s="165"/>
      <c r="F53" s="6"/>
    </row>
    <row r="54" spans="1:6" ht="16.5" customHeight="1" x14ac:dyDescent="0.2">
      <c r="B54" s="19" t="s">
        <v>312</v>
      </c>
      <c r="C54" s="106">
        <f>C11*'1. Inputs'!C10/C5</f>
        <v>7427.7</v>
      </c>
      <c r="D54" s="21"/>
      <c r="E54" s="22" t="s">
        <v>313</v>
      </c>
      <c r="F54" s="6" t="s">
        <v>5</v>
      </c>
    </row>
    <row r="55" spans="1:6" ht="16.5" customHeight="1" x14ac:dyDescent="0.2">
      <c r="B55" s="19" t="s">
        <v>314</v>
      </c>
      <c r="C55" s="107">
        <f>C54*C6</f>
        <v>1856.925</v>
      </c>
      <c r="D55" s="21"/>
      <c r="E55" s="22" t="s">
        <v>315</v>
      </c>
      <c r="F55" s="6" t="s">
        <v>5</v>
      </c>
    </row>
    <row r="56" spans="1:6" ht="16.5" customHeight="1" x14ac:dyDescent="0.2">
      <c r="B56" s="19" t="s">
        <v>316</v>
      </c>
      <c r="C56" s="107">
        <f>C55/C7</f>
        <v>2184.6176470588234</v>
      </c>
      <c r="D56" s="21"/>
      <c r="E56" s="22" t="s">
        <v>317</v>
      </c>
      <c r="F56" s="6" t="s">
        <v>5</v>
      </c>
    </row>
    <row r="57" spans="1:6" ht="16.5" customHeight="1" x14ac:dyDescent="0.2">
      <c r="B57" s="21"/>
      <c r="C57" s="21"/>
      <c r="D57" s="21"/>
      <c r="E57" s="21"/>
      <c r="F57" s="6"/>
    </row>
    <row r="58" spans="1:6" ht="16.5" customHeight="1" x14ac:dyDescent="0.2">
      <c r="A58" s="165" t="s">
        <v>318</v>
      </c>
      <c r="B58" s="165"/>
      <c r="C58" s="165"/>
      <c r="D58" s="165"/>
      <c r="E58" s="165"/>
      <c r="F58" s="6"/>
    </row>
    <row r="59" spans="1:6" ht="16.5" customHeight="1" x14ac:dyDescent="0.2">
      <c r="B59" s="19" t="s">
        <v>319</v>
      </c>
      <c r="C59" s="108">
        <f>'4. Factura Gas sep24'!C34</f>
        <v>68.9228673318472</v>
      </c>
      <c r="D59" s="21"/>
      <c r="E59" s="21"/>
      <c r="F59" s="6"/>
    </row>
    <row r="60" spans="1:6" ht="16.5" customHeight="1" x14ac:dyDescent="0.2">
      <c r="B60" s="19" t="s">
        <v>320</v>
      </c>
      <c r="C60" s="109">
        <f>C54*C59</f>
        <v>511938.38168076146</v>
      </c>
      <c r="D60" s="21"/>
      <c r="E60" s="21"/>
      <c r="F60" s="6" t="s">
        <v>5</v>
      </c>
    </row>
    <row r="61" spans="1:6" ht="16.5" customHeight="1" x14ac:dyDescent="0.2">
      <c r="B61" s="27" t="s">
        <v>321</v>
      </c>
      <c r="C61" s="34">
        <f>C56*C59</f>
        <v>150570.11225904748</v>
      </c>
      <c r="D61" s="21"/>
      <c r="E61" s="22" t="s">
        <v>322</v>
      </c>
      <c r="F61" s="6" t="s">
        <v>5</v>
      </c>
    </row>
    <row r="62" spans="1:6" ht="16.5" customHeight="1" x14ac:dyDescent="0.2">
      <c r="B62" s="21"/>
      <c r="C62" s="21"/>
      <c r="D62" s="21"/>
      <c r="E62" s="21"/>
      <c r="F62" s="6"/>
    </row>
    <row r="63" spans="1:6" ht="16.5" customHeight="1" x14ac:dyDescent="0.2">
      <c r="A63" s="165" t="s">
        <v>323</v>
      </c>
      <c r="B63" s="165"/>
      <c r="C63" s="165"/>
      <c r="D63" s="165"/>
      <c r="E63" s="165"/>
      <c r="F63" s="6"/>
    </row>
    <row r="64" spans="1:6" ht="16.5" customHeight="1" x14ac:dyDescent="0.2">
      <c r="B64" s="19" t="s">
        <v>324</v>
      </c>
      <c r="C64" s="86">
        <f>C11*'1. Inputs'!C22</f>
        <v>247590</v>
      </c>
      <c r="D64" s="21"/>
      <c r="E64" s="21"/>
      <c r="F64" s="6" t="s">
        <v>5</v>
      </c>
    </row>
    <row r="65" spans="1:6" ht="16.5" customHeight="1" x14ac:dyDescent="0.2">
      <c r="B65" s="21"/>
      <c r="C65" s="21"/>
      <c r="D65" s="21"/>
      <c r="E65" s="21"/>
    </row>
    <row r="66" spans="1:6" ht="16.5" customHeight="1" x14ac:dyDescent="0.2">
      <c r="A66" s="169" t="s">
        <v>325</v>
      </c>
      <c r="B66" s="169"/>
      <c r="C66" s="169"/>
      <c r="D66" s="169"/>
      <c r="E66" s="169"/>
    </row>
    <row r="67" spans="1:6" ht="16.5" customHeight="1" x14ac:dyDescent="0.2">
      <c r="B67" s="19" t="s">
        <v>326</v>
      </c>
      <c r="C67" s="109">
        <f>C51</f>
        <v>2610501.1500000004</v>
      </c>
      <c r="D67" s="21"/>
      <c r="E67" s="21"/>
      <c r="F67" s="6" t="s">
        <v>5</v>
      </c>
    </row>
    <row r="68" spans="1:6" ht="16.5" customHeight="1" x14ac:dyDescent="0.2">
      <c r="B68" s="19" t="s">
        <v>327</v>
      </c>
      <c r="C68" s="109">
        <f>C61</f>
        <v>150570.11225904748</v>
      </c>
      <c r="D68" s="21"/>
      <c r="E68" s="21"/>
      <c r="F68" s="6" t="s">
        <v>5</v>
      </c>
    </row>
    <row r="69" spans="1:6" ht="16.5" customHeight="1" x14ac:dyDescent="0.2">
      <c r="B69" s="27" t="s">
        <v>328</v>
      </c>
      <c r="C69" s="34">
        <f>C67+C68</f>
        <v>2761071.2622590479</v>
      </c>
      <c r="D69" s="21"/>
      <c r="E69" s="21"/>
      <c r="F69" s="6" t="s">
        <v>5</v>
      </c>
    </row>
    <row r="70" spans="1:6" ht="16.5" customHeight="1" x14ac:dyDescent="0.2">
      <c r="B70" s="19" t="s">
        <v>329</v>
      </c>
      <c r="C70" s="109">
        <f>-C60</f>
        <v>-511938.38168076146</v>
      </c>
      <c r="D70" s="21"/>
      <c r="E70" s="21"/>
      <c r="F70" s="6" t="s">
        <v>5</v>
      </c>
    </row>
    <row r="71" spans="1:6" ht="16.5" customHeight="1" x14ac:dyDescent="0.2">
      <c r="B71" s="19" t="s">
        <v>330</v>
      </c>
      <c r="C71" s="109">
        <f>-C64</f>
        <v>-247590</v>
      </c>
      <c r="D71" s="21"/>
      <c r="E71" s="21"/>
      <c r="F71" s="6" t="s">
        <v>5</v>
      </c>
    </row>
    <row r="72" spans="1:6" ht="16.5" customHeight="1" x14ac:dyDescent="0.2">
      <c r="B72" s="27" t="s">
        <v>331</v>
      </c>
      <c r="C72" s="34">
        <f>C70+C71</f>
        <v>-759528.38168076146</v>
      </c>
      <c r="D72" s="21"/>
      <c r="E72" s="21"/>
      <c r="F72" s="6" t="s">
        <v>5</v>
      </c>
    </row>
    <row r="73" spans="1:6" ht="16.5" customHeight="1" x14ac:dyDescent="0.2">
      <c r="B73" s="27" t="s">
        <v>332</v>
      </c>
      <c r="C73" s="34">
        <f>C69+C72</f>
        <v>2001542.8805782865</v>
      </c>
      <c r="D73" s="21"/>
      <c r="E73" s="21"/>
      <c r="F73" s="6" t="s">
        <v>5</v>
      </c>
    </row>
    <row r="74" spans="1:6" ht="16.5" customHeight="1" x14ac:dyDescent="0.2">
      <c r="B74" s="21"/>
      <c r="C74" s="21"/>
      <c r="D74" s="21"/>
      <c r="E74" s="21"/>
    </row>
    <row r="75" spans="1:6" ht="16.5" customHeight="1" x14ac:dyDescent="0.2">
      <c r="A75" s="165" t="s">
        <v>333</v>
      </c>
      <c r="B75" s="165"/>
      <c r="C75" s="165"/>
      <c r="D75" s="165"/>
      <c r="E75" s="165"/>
    </row>
    <row r="76" spans="1:6" ht="16.5" customHeight="1" x14ac:dyDescent="0.2">
      <c r="B76" s="19" t="s">
        <v>334</v>
      </c>
      <c r="C76" s="110">
        <f>C51*12</f>
        <v>31326013.800000004</v>
      </c>
      <c r="D76" s="21"/>
      <c r="E76" s="21"/>
      <c r="F76" s="6" t="s">
        <v>5</v>
      </c>
    </row>
    <row r="77" spans="1:6" ht="16.5" customHeight="1" x14ac:dyDescent="0.2">
      <c r="B77" s="19" t="s">
        <v>335</v>
      </c>
      <c r="C77" s="110">
        <f>C61*12</f>
        <v>1806841.3471085699</v>
      </c>
      <c r="D77" s="21"/>
      <c r="E77" s="21"/>
      <c r="F77" s="6" t="s">
        <v>5</v>
      </c>
    </row>
    <row r="78" spans="1:6" ht="16.5" customHeight="1" x14ac:dyDescent="0.2">
      <c r="B78" s="19" t="s">
        <v>336</v>
      </c>
      <c r="C78" s="110">
        <f>C60*12</f>
        <v>6143260.5801691376</v>
      </c>
      <c r="D78" s="21"/>
      <c r="E78" s="21"/>
      <c r="F78" s="6" t="s">
        <v>5</v>
      </c>
    </row>
    <row r="79" spans="1:6" ht="16.5" customHeight="1" x14ac:dyDescent="0.2">
      <c r="B79" s="19" t="s">
        <v>337</v>
      </c>
      <c r="C79" s="110">
        <f>C64*12</f>
        <v>2971080</v>
      </c>
      <c r="D79" s="21"/>
      <c r="E79" s="21"/>
      <c r="F79" s="6" t="s">
        <v>5</v>
      </c>
    </row>
    <row r="80" spans="1:6" ht="16.5" customHeight="1" x14ac:dyDescent="0.2">
      <c r="B80" s="27" t="s">
        <v>338</v>
      </c>
      <c r="C80" s="111">
        <f>C73*12</f>
        <v>24018514.566939436</v>
      </c>
      <c r="D80" s="21"/>
      <c r="E80" s="21"/>
      <c r="F80" s="6" t="s">
        <v>5</v>
      </c>
    </row>
    <row r="81" spans="1:6" ht="16.5" customHeight="1" x14ac:dyDescent="0.2">
      <c r="B81" s="22" t="s">
        <v>339</v>
      </c>
      <c r="C81" s="21"/>
      <c r="D81" s="21"/>
      <c r="E81" s="21"/>
    </row>
    <row r="82" spans="1:6" ht="16.5" customHeight="1" x14ac:dyDescent="0.2">
      <c r="B82" s="21"/>
      <c r="C82" s="21"/>
      <c r="D82" s="21"/>
      <c r="E82" s="21"/>
    </row>
    <row r="83" spans="1:6" ht="16.5" customHeight="1" x14ac:dyDescent="0.2">
      <c r="A83" s="165" t="s">
        <v>340</v>
      </c>
      <c r="B83" s="165"/>
      <c r="C83" s="165"/>
      <c r="D83" s="165"/>
      <c r="E83" s="165"/>
    </row>
    <row r="84" spans="1:6" ht="16.5" customHeight="1" x14ac:dyDescent="0.2">
      <c r="B84" s="19" t="s">
        <v>341</v>
      </c>
      <c r="C84" s="29">
        <f>CEILING(C10/'1. Inputs'!C12,1)</f>
        <v>1529</v>
      </c>
      <c r="D84" s="21"/>
      <c r="E84" s="22" t="s">
        <v>342</v>
      </c>
      <c r="F84" s="6" t="s">
        <v>343</v>
      </c>
    </row>
    <row r="85" spans="1:6" ht="16.5" customHeight="1" x14ac:dyDescent="0.2">
      <c r="B85" s="19" t="s">
        <v>344</v>
      </c>
      <c r="C85" s="112">
        <f>C84/1000</f>
        <v>1.5289999999999999</v>
      </c>
      <c r="D85" s="21"/>
      <c r="E85" s="21"/>
      <c r="F85" s="6" t="s">
        <v>5</v>
      </c>
    </row>
    <row r="86" spans="1:6" ht="16.5" customHeight="1" x14ac:dyDescent="0.2">
      <c r="B86" s="19" t="s">
        <v>345</v>
      </c>
      <c r="C86" s="85">
        <f>C11*12/1000</f>
        <v>9903.6</v>
      </c>
      <c r="D86" s="21"/>
      <c r="E86" s="21"/>
      <c r="F86" s="6" t="s">
        <v>5</v>
      </c>
    </row>
    <row r="87" spans="1:6" ht="16.5" customHeight="1" x14ac:dyDescent="0.2">
      <c r="B87" s="19" t="s">
        <v>346</v>
      </c>
      <c r="C87" s="85">
        <f>C54*12/3.6</f>
        <v>24758.999999999996</v>
      </c>
      <c r="D87" s="21"/>
      <c r="E87" s="22" t="s">
        <v>347</v>
      </c>
      <c r="F87" s="6" t="s">
        <v>5</v>
      </c>
    </row>
    <row r="88" spans="1:6" ht="16.5" customHeight="1" x14ac:dyDescent="0.2">
      <c r="B88" s="19" t="s">
        <v>348</v>
      </c>
      <c r="C88" s="85">
        <f>C55*12/3.6</f>
        <v>6189.7499999999991</v>
      </c>
      <c r="D88" s="21"/>
      <c r="E88" s="21"/>
      <c r="F88" s="6" t="s">
        <v>5</v>
      </c>
    </row>
    <row r="89" spans="1:6" ht="16.5" customHeight="1" x14ac:dyDescent="0.2">
      <c r="B89" s="19" t="s">
        <v>349</v>
      </c>
      <c r="C89" s="113">
        <f>C88/'5. Parametros cliente'!C14</f>
        <v>7548.4756097560967</v>
      </c>
      <c r="D89" s="21"/>
      <c r="E89" s="21"/>
      <c r="F89" s="6" t="s">
        <v>5</v>
      </c>
    </row>
    <row r="90" spans="1:6" ht="16.5" customHeight="1" x14ac:dyDescent="0.2">
      <c r="B90" s="19" t="s">
        <v>350</v>
      </c>
      <c r="C90" s="85">
        <f>C87-C89</f>
        <v>17210.5243902439</v>
      </c>
      <c r="D90" s="21"/>
      <c r="E90" s="21"/>
      <c r="F90" s="6" t="s">
        <v>5</v>
      </c>
    </row>
    <row r="91" spans="1:6" ht="16.5" customHeight="1" x14ac:dyDescent="0.2">
      <c r="B91" s="19" t="s">
        <v>351</v>
      </c>
      <c r="C91" s="113">
        <f>C86/'5. Parametros cliente'!C17+C88/'5. Parametros cliente'!C14</f>
        <v>31493.349884417607</v>
      </c>
      <c r="D91" s="21"/>
      <c r="E91" s="21"/>
      <c r="F91" s="6" t="s">
        <v>5</v>
      </c>
    </row>
    <row r="92" spans="1:6" ht="16.5" customHeight="1" x14ac:dyDescent="0.2">
      <c r="B92" s="19" t="s">
        <v>352</v>
      </c>
      <c r="C92" s="85">
        <f>C91-C87</f>
        <v>6734.3498844176102</v>
      </c>
      <c r="D92" s="21"/>
      <c r="E92" s="21"/>
      <c r="F92" s="6" t="s">
        <v>5</v>
      </c>
    </row>
    <row r="93" spans="1:6" ht="16.5" customHeight="1" x14ac:dyDescent="0.2">
      <c r="B93" s="27" t="s">
        <v>353</v>
      </c>
      <c r="C93" s="114">
        <f>C92*'5. Parametros cliente'!C16</f>
        <v>2963.1139491437484</v>
      </c>
      <c r="D93" s="21"/>
      <c r="E93" s="22" t="s">
        <v>354</v>
      </c>
      <c r="F93" s="6" t="s">
        <v>5</v>
      </c>
    </row>
    <row r="94" spans="1:6" ht="16.5" customHeight="1" x14ac:dyDescent="0.2">
      <c r="B94" s="27" t="s">
        <v>355</v>
      </c>
      <c r="C94" s="115">
        <f>C93*1000/(C10*12)</f>
        <v>0.22439673066943447</v>
      </c>
      <c r="D94" s="21"/>
      <c r="E94" s="22" t="s">
        <v>356</v>
      </c>
      <c r="F94" s="6" t="s">
        <v>5</v>
      </c>
    </row>
    <row r="95" spans="1:6" ht="16.5" customHeight="1" x14ac:dyDescent="0.2">
      <c r="B95" s="21"/>
      <c r="C95" s="21"/>
      <c r="D95" s="21"/>
      <c r="E95" s="21"/>
    </row>
    <row r="96" spans="1:6" ht="16.5" customHeight="1" x14ac:dyDescent="0.2">
      <c r="A96" s="165" t="s">
        <v>357</v>
      </c>
      <c r="B96" s="165"/>
      <c r="C96" s="165"/>
      <c r="D96" s="165"/>
      <c r="E96" s="165"/>
    </row>
    <row r="97" spans="2:6" ht="16.5" customHeight="1" x14ac:dyDescent="0.2">
      <c r="B97" s="19" t="s">
        <v>358</v>
      </c>
      <c r="C97" s="116">
        <f>C84*'1. Inputs'!C16</f>
        <v>2140600</v>
      </c>
      <c r="D97" s="21"/>
      <c r="E97" s="21"/>
      <c r="F97" s="6" t="s">
        <v>5</v>
      </c>
    </row>
    <row r="98" spans="2:6" ht="16.5" customHeight="1" x14ac:dyDescent="0.2">
      <c r="B98" s="27" t="s">
        <v>359</v>
      </c>
      <c r="C98" s="117">
        <f>C97*'1. Inputs'!C17</f>
        <v>37460500</v>
      </c>
      <c r="D98" s="21"/>
      <c r="E98" s="21"/>
      <c r="F98" s="6" t="s">
        <v>5</v>
      </c>
    </row>
    <row r="99" spans="2:6" ht="16.5" customHeight="1" x14ac:dyDescent="0.2">
      <c r="B99" s="19" t="s">
        <v>360</v>
      </c>
      <c r="C99" s="118">
        <f>C98*'1. Inputs'!C18</f>
        <v>11238150</v>
      </c>
      <c r="D99" s="21"/>
      <c r="E99" s="21"/>
      <c r="F99" s="6" t="s">
        <v>5</v>
      </c>
    </row>
    <row r="100" spans="2:6" ht="16.5" customHeight="1" x14ac:dyDescent="0.2">
      <c r="B100" s="19" t="s">
        <v>361</v>
      </c>
      <c r="C100" s="110">
        <f>C80+C99</f>
        <v>35256664.566939436</v>
      </c>
      <c r="D100" s="21"/>
      <c r="E100" s="21"/>
      <c r="F100" s="6" t="s">
        <v>5</v>
      </c>
    </row>
    <row r="101" spans="2:6" ht="16.5" customHeight="1" x14ac:dyDescent="0.2">
      <c r="B101" s="19" t="s">
        <v>362</v>
      </c>
      <c r="C101" s="110">
        <f>C80</f>
        <v>24018514.566939436</v>
      </c>
      <c r="D101" s="21"/>
      <c r="E101" s="21"/>
      <c r="F101" s="6" t="s">
        <v>5</v>
      </c>
    </row>
    <row r="102" spans="2:6" ht="16.5" customHeight="1" x14ac:dyDescent="0.2">
      <c r="B102" s="19" t="s">
        <v>363</v>
      </c>
      <c r="C102" s="110">
        <f>-C98+C100</f>
        <v>-2203835.4330605641</v>
      </c>
      <c r="D102" s="21"/>
      <c r="E102" s="21"/>
      <c r="F102" s="6" t="s">
        <v>5</v>
      </c>
    </row>
    <row r="103" spans="2:6" ht="16.5" customHeight="1" x14ac:dyDescent="0.2">
      <c r="B103" s="19" t="s">
        <v>364</v>
      </c>
      <c r="C103" s="110">
        <f>C102+C101</f>
        <v>21814679.133878872</v>
      </c>
      <c r="D103" s="21"/>
      <c r="E103" s="21"/>
      <c r="F103" s="6" t="s">
        <v>5</v>
      </c>
    </row>
    <row r="104" spans="2:6" ht="16.5" customHeight="1" x14ac:dyDescent="0.2">
      <c r="B104" s="19" t="s">
        <v>365</v>
      </c>
      <c r="C104" s="110">
        <f>C103+C101</f>
        <v>45833193.700818308</v>
      </c>
      <c r="D104" s="21"/>
      <c r="E104" s="21"/>
      <c r="F104" s="6" t="s">
        <v>5</v>
      </c>
    </row>
    <row r="105" spans="2:6" ht="16.5" customHeight="1" x14ac:dyDescent="0.2">
      <c r="B105" s="119" t="s">
        <v>366</v>
      </c>
      <c r="C105" s="120">
        <f>C104+C101</f>
        <v>69851708.267757744</v>
      </c>
      <c r="D105" s="21"/>
      <c r="E105" s="22" t="s">
        <v>367</v>
      </c>
      <c r="F105" s="6" t="s">
        <v>368</v>
      </c>
    </row>
    <row r="106" spans="2:6" x14ac:dyDescent="0.2">
      <c r="B106" s="119" t="s">
        <v>369</v>
      </c>
      <c r="C106" s="120">
        <f>C105+C101</f>
        <v>93870222.834697187</v>
      </c>
      <c r="D106" s="21"/>
      <c r="E106" s="21"/>
    </row>
    <row r="107" spans="2:6" ht="26" x14ac:dyDescent="0.2">
      <c r="B107" s="104" t="s">
        <v>370</v>
      </c>
      <c r="C107" s="121">
        <f>IF(C102&gt;=0,ABS(-C98)/C100,IF(C103&gt;=0,1+ABS(C102)/C101,IF(C104&gt;=0,2+ABS(C103)/C101,IF(C105&gt;=0,3+ABS(C104)/C101,IF(C106&gt;=0,4+ABS(C105)/C101,"&gt;5 años")))))</f>
        <v>1.0917556923396945</v>
      </c>
      <c r="D107" s="21"/>
      <c r="E107" s="122" t="s">
        <v>371</v>
      </c>
    </row>
  </sheetData>
  <mergeCells count="17">
    <mergeCell ref="A1:E1"/>
    <mergeCell ref="A3:E3"/>
    <mergeCell ref="A9:E9"/>
    <mergeCell ref="A14:E14"/>
    <mergeCell ref="A22:E22"/>
    <mergeCell ref="A28:E28"/>
    <mergeCell ref="A36:E36"/>
    <mergeCell ref="A43:E43"/>
    <mergeCell ref="F43:F48"/>
    <mergeCell ref="A50:E50"/>
    <mergeCell ref="A83:E83"/>
    <mergeCell ref="A96:E96"/>
    <mergeCell ref="A53:E53"/>
    <mergeCell ref="A58:E58"/>
    <mergeCell ref="A63:E63"/>
    <mergeCell ref="A66:E66"/>
    <mergeCell ref="A75:E7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5"/>
  <sheetViews>
    <sheetView showGridLines="0" topLeftCell="B1" zoomScaleNormal="100" workbookViewId="0">
      <selection activeCell="F78" sqref="F78"/>
    </sheetView>
  </sheetViews>
  <sheetFormatPr baseColWidth="10" defaultColWidth="8.6640625" defaultRowHeight="15" x14ac:dyDescent="0.2"/>
  <cols>
    <col min="1" max="1" width="4" customWidth="1"/>
    <col min="2" max="2" width="48" customWidth="1"/>
    <col min="3" max="4" width="20" customWidth="1"/>
    <col min="5" max="5" width="75" customWidth="1"/>
    <col min="6" max="6" width="69" customWidth="1"/>
  </cols>
  <sheetData>
    <row r="1" spans="1:6" ht="21.75" customHeight="1" x14ac:dyDescent="0.2">
      <c r="A1" s="166" t="s">
        <v>372</v>
      </c>
      <c r="B1" s="166"/>
      <c r="C1" s="166"/>
      <c r="D1" s="166"/>
      <c r="E1" s="166"/>
    </row>
    <row r="2" spans="1:6" ht="18" customHeight="1" x14ac:dyDescent="0.2">
      <c r="A2" s="171" t="s">
        <v>373</v>
      </c>
      <c r="B2" s="171"/>
      <c r="C2" s="171"/>
      <c r="D2" s="171"/>
      <c r="E2" s="171"/>
    </row>
    <row r="4" spans="1:6" ht="16.5" customHeight="1" x14ac:dyDescent="0.2">
      <c r="A4" s="165" t="s">
        <v>264</v>
      </c>
      <c r="B4" s="165"/>
      <c r="C4" s="165"/>
      <c r="D4" s="165"/>
      <c r="E4" s="165"/>
      <c r="F4" s="6"/>
    </row>
    <row r="5" spans="1:6" ht="16.5" customHeight="1" x14ac:dyDescent="0.2">
      <c r="B5" s="47" t="s">
        <v>265</v>
      </c>
      <c r="C5" s="123">
        <f>'1. Inputs'!C4</f>
        <v>0.75</v>
      </c>
      <c r="D5" s="49"/>
      <c r="E5" s="49"/>
      <c r="F5" s="6"/>
    </row>
    <row r="6" spans="1:6" ht="16.5" customHeight="1" x14ac:dyDescent="0.2">
      <c r="B6" s="47" t="s">
        <v>266</v>
      </c>
      <c r="C6" s="123">
        <f>'1. Inputs'!C5</f>
        <v>0.4</v>
      </c>
      <c r="D6" s="49"/>
      <c r="E6" s="49"/>
      <c r="F6" s="6"/>
    </row>
    <row r="7" spans="1:6" ht="16.5" customHeight="1" x14ac:dyDescent="0.2">
      <c r="B7" s="47" t="s">
        <v>267</v>
      </c>
      <c r="C7" s="123">
        <f>'1. Inputs'!C6</f>
        <v>0.25</v>
      </c>
      <c r="D7" s="49"/>
      <c r="E7" s="49"/>
      <c r="F7" s="6"/>
    </row>
    <row r="8" spans="1:6" ht="16.5" customHeight="1" x14ac:dyDescent="0.2">
      <c r="B8" s="47" t="s">
        <v>268</v>
      </c>
      <c r="C8" s="123">
        <f>'1. Inputs'!C7</f>
        <v>0.85</v>
      </c>
      <c r="D8" s="49"/>
      <c r="E8" s="49"/>
      <c r="F8" s="6"/>
    </row>
    <row r="9" spans="1:6" ht="16.5" customHeight="1" x14ac:dyDescent="0.2">
      <c r="B9" s="49"/>
      <c r="C9" s="49"/>
      <c r="D9" s="49"/>
      <c r="E9" s="49"/>
    </row>
    <row r="10" spans="1:6" ht="16.5" customHeight="1" x14ac:dyDescent="0.2">
      <c r="A10" s="165" t="s">
        <v>374</v>
      </c>
      <c r="B10" s="165"/>
      <c r="C10" s="165"/>
      <c r="D10" s="165"/>
      <c r="E10" s="165"/>
      <c r="F10" s="6"/>
    </row>
    <row r="11" spans="1:6" ht="16.5" customHeight="1" x14ac:dyDescent="0.2">
      <c r="B11" s="47" t="s">
        <v>375</v>
      </c>
      <c r="C11" s="92">
        <f>'3. Factura PPA sep24'!C15</f>
        <v>2060135</v>
      </c>
      <c r="D11" s="49"/>
      <c r="E11" s="49"/>
      <c r="F11" s="6"/>
    </row>
    <row r="12" spans="1:6" ht="16.5" customHeight="1" x14ac:dyDescent="0.2">
      <c r="B12" s="47" t="s">
        <v>271</v>
      </c>
      <c r="C12" s="124">
        <f>C11*C5</f>
        <v>1545101.25</v>
      </c>
      <c r="D12" s="49"/>
      <c r="E12" s="52" t="s">
        <v>376</v>
      </c>
      <c r="F12" s="6"/>
    </row>
    <row r="13" spans="1:6" ht="16.5" customHeight="1" x14ac:dyDescent="0.2">
      <c r="B13" s="47" t="s">
        <v>377</v>
      </c>
      <c r="C13" s="124">
        <f>C11-C12</f>
        <v>515033.75</v>
      </c>
      <c r="D13" s="49"/>
      <c r="E13" s="49"/>
      <c r="F13" s="6"/>
    </row>
    <row r="14" spans="1:6" ht="16.5" customHeight="1" x14ac:dyDescent="0.2">
      <c r="B14" s="49"/>
      <c r="C14" s="49"/>
      <c r="D14" s="49"/>
      <c r="E14" s="49"/>
      <c r="F14" s="6"/>
    </row>
    <row r="15" spans="1:6" ht="16.5" customHeight="1" x14ac:dyDescent="0.2">
      <c r="A15" s="170" t="s">
        <v>378</v>
      </c>
      <c r="B15" s="170"/>
      <c r="C15" s="170"/>
      <c r="D15" s="170"/>
      <c r="E15" s="170"/>
      <c r="F15" s="6"/>
    </row>
    <row r="16" spans="1:6" ht="16.5" customHeight="1" x14ac:dyDescent="0.2">
      <c r="B16" s="47" t="s">
        <v>379</v>
      </c>
      <c r="C16" s="93">
        <f>'3. Factura PPA sep24'!C20</f>
        <v>4183310.13</v>
      </c>
      <c r="D16" s="49"/>
      <c r="E16" s="49"/>
      <c r="F16" s="6"/>
    </row>
    <row r="17" spans="1:6" ht="16.5" customHeight="1" x14ac:dyDescent="0.2">
      <c r="B17" s="47" t="s">
        <v>380</v>
      </c>
      <c r="C17" s="94">
        <f>C16/C11</f>
        <v>2.0305999995145947</v>
      </c>
      <c r="D17" s="49"/>
      <c r="E17" s="52" t="s">
        <v>381</v>
      </c>
      <c r="F17" s="6"/>
    </row>
    <row r="18" spans="1:6" ht="16.5" customHeight="1" x14ac:dyDescent="0.2">
      <c r="B18" s="57" t="s">
        <v>382</v>
      </c>
      <c r="C18" s="125">
        <f>C12*C17</f>
        <v>3137482.5974999997</v>
      </c>
      <c r="D18" s="49"/>
      <c r="E18" s="52" t="s">
        <v>383</v>
      </c>
      <c r="F18" s="6"/>
    </row>
    <row r="19" spans="1:6" ht="16.5" customHeight="1" x14ac:dyDescent="0.2">
      <c r="B19" s="49"/>
      <c r="C19" s="49"/>
      <c r="D19" s="49"/>
      <c r="E19" s="49"/>
      <c r="F19" s="6"/>
    </row>
    <row r="20" spans="1:6" ht="16.5" customHeight="1" x14ac:dyDescent="0.2">
      <c r="A20" s="165" t="s">
        <v>384</v>
      </c>
      <c r="B20" s="165"/>
      <c r="C20" s="165"/>
      <c r="D20" s="165"/>
      <c r="E20" s="165"/>
      <c r="F20" s="6"/>
    </row>
    <row r="21" spans="1:6" ht="16.5" customHeight="1" x14ac:dyDescent="0.2">
      <c r="B21" s="52" t="s">
        <v>385</v>
      </c>
      <c r="C21" s="49"/>
      <c r="D21" s="49"/>
      <c r="E21" s="49"/>
      <c r="F21" s="6"/>
    </row>
    <row r="22" spans="1:6" s="126" customFormat="1" ht="16.5" customHeight="1" x14ac:dyDescent="0.2">
      <c r="B22" s="127" t="s">
        <v>386</v>
      </c>
      <c r="C22" s="128"/>
      <c r="D22" s="128"/>
      <c r="E22" s="128"/>
      <c r="F22" s="6"/>
    </row>
    <row r="23" spans="1:6" ht="16.5" customHeight="1" x14ac:dyDescent="0.2">
      <c r="B23" s="52" t="s">
        <v>387</v>
      </c>
      <c r="C23" s="49"/>
      <c r="D23" s="49"/>
      <c r="E23" s="49"/>
      <c r="F23" s="6"/>
    </row>
    <row r="24" spans="1:6" ht="16.5" customHeight="1" x14ac:dyDescent="0.2">
      <c r="B24" s="49"/>
      <c r="C24" s="49"/>
      <c r="D24" s="49"/>
      <c r="E24" s="49"/>
      <c r="F24" s="6"/>
    </row>
    <row r="25" spans="1:6" ht="16.5" customHeight="1" x14ac:dyDescent="0.2">
      <c r="A25" s="165" t="s">
        <v>388</v>
      </c>
      <c r="B25" s="165"/>
      <c r="C25" s="165"/>
      <c r="D25" s="165"/>
      <c r="E25" s="165"/>
      <c r="F25" s="6"/>
    </row>
    <row r="26" spans="1:6" ht="16.5" customHeight="1" x14ac:dyDescent="0.2">
      <c r="B26" s="47" t="s">
        <v>312</v>
      </c>
      <c r="C26" s="129">
        <f>C12*'1. Inputs'!C10/C6</f>
        <v>13905.911249999999</v>
      </c>
      <c r="D26" s="49"/>
      <c r="E26" s="49"/>
      <c r="F26" s="6"/>
    </row>
    <row r="27" spans="1:6" ht="16.5" customHeight="1" x14ac:dyDescent="0.2">
      <c r="B27" s="47" t="s">
        <v>314</v>
      </c>
      <c r="C27" s="130">
        <f>C26*C7</f>
        <v>3476.4778124999998</v>
      </c>
      <c r="D27" s="49"/>
      <c r="E27" s="49"/>
      <c r="F27" s="6"/>
    </row>
    <row r="28" spans="1:6" ht="16.5" customHeight="1" x14ac:dyDescent="0.2">
      <c r="B28" s="47" t="s">
        <v>316</v>
      </c>
      <c r="C28" s="130">
        <f>C27/C8</f>
        <v>4089.9738970588232</v>
      </c>
      <c r="D28" s="49"/>
      <c r="E28" s="49"/>
      <c r="F28" s="6"/>
    </row>
    <row r="29" spans="1:6" ht="16.5" customHeight="1" x14ac:dyDescent="0.2">
      <c r="B29" s="49"/>
      <c r="C29" s="49"/>
      <c r="D29" s="49"/>
      <c r="E29" s="49"/>
      <c r="F29" s="6"/>
    </row>
    <row r="30" spans="1:6" ht="16.5" customHeight="1" x14ac:dyDescent="0.2">
      <c r="A30" s="165" t="s">
        <v>318</v>
      </c>
      <c r="B30" s="165"/>
      <c r="C30" s="165"/>
      <c r="D30" s="165"/>
      <c r="E30" s="165"/>
      <c r="F30" s="6"/>
    </row>
    <row r="31" spans="1:6" ht="16.5" customHeight="1" x14ac:dyDescent="0.2">
      <c r="B31" s="47" t="s">
        <v>319</v>
      </c>
      <c r="C31" s="131">
        <f>'4. Factura Gas sep24'!C34</f>
        <v>68.9228673318472</v>
      </c>
      <c r="D31" s="49"/>
      <c r="E31" s="49"/>
      <c r="F31" s="6"/>
    </row>
    <row r="32" spans="1:6" ht="16.5" customHeight="1" x14ac:dyDescent="0.2">
      <c r="B32" s="47" t="s">
        <v>320</v>
      </c>
      <c r="C32" s="56">
        <f>C26*C31</f>
        <v>958435.27621219144</v>
      </c>
      <c r="D32" s="49"/>
      <c r="E32" s="49"/>
      <c r="F32" s="6"/>
    </row>
    <row r="33" spans="1:6" ht="16.5" customHeight="1" x14ac:dyDescent="0.2">
      <c r="B33" s="57" t="s">
        <v>389</v>
      </c>
      <c r="C33" s="125">
        <f>C28*C31</f>
        <v>281892.72829770338</v>
      </c>
      <c r="D33" s="49"/>
      <c r="E33" s="49"/>
      <c r="F33" s="6"/>
    </row>
    <row r="34" spans="1:6" ht="16.5" customHeight="1" x14ac:dyDescent="0.2">
      <c r="B34" s="49"/>
      <c r="C34" s="49"/>
      <c r="D34" s="49"/>
      <c r="E34" s="49"/>
      <c r="F34" s="6"/>
    </row>
    <row r="35" spans="1:6" ht="16.5" customHeight="1" x14ac:dyDescent="0.2">
      <c r="A35" s="165" t="s">
        <v>390</v>
      </c>
      <c r="B35" s="165"/>
      <c r="C35" s="165"/>
      <c r="D35" s="165"/>
      <c r="E35" s="165"/>
      <c r="F35" s="6"/>
    </row>
    <row r="36" spans="1:6" ht="16.5" customHeight="1" x14ac:dyDescent="0.2">
      <c r="B36" s="47" t="s">
        <v>324</v>
      </c>
      <c r="C36" s="93">
        <f>C12*'1. Inputs'!C22</f>
        <v>463530.375</v>
      </c>
      <c r="D36" s="49"/>
      <c r="E36" s="49"/>
      <c r="F36" s="6"/>
    </row>
    <row r="37" spans="1:6" ht="16.5" customHeight="1" x14ac:dyDescent="0.2">
      <c r="B37" s="49"/>
      <c r="C37" s="49"/>
      <c r="D37" s="49"/>
      <c r="E37" s="49"/>
      <c r="F37" s="6"/>
    </row>
    <row r="38" spans="1:6" ht="16.5" customHeight="1" x14ac:dyDescent="0.2">
      <c r="A38" s="169" t="s">
        <v>325</v>
      </c>
      <c r="B38" s="169"/>
      <c r="C38" s="169"/>
      <c r="D38" s="169"/>
      <c r="E38" s="169"/>
      <c r="F38" s="6"/>
    </row>
    <row r="39" spans="1:6" ht="16.5" customHeight="1" x14ac:dyDescent="0.2">
      <c r="B39" s="47" t="s">
        <v>391</v>
      </c>
      <c r="C39" s="56">
        <f>C18</f>
        <v>3137482.5974999997</v>
      </c>
      <c r="D39" s="49"/>
      <c r="E39" s="49"/>
      <c r="F39" s="6"/>
    </row>
    <row r="40" spans="1:6" ht="16.5" customHeight="1" x14ac:dyDescent="0.2">
      <c r="B40" s="47" t="s">
        <v>327</v>
      </c>
      <c r="C40" s="56">
        <f>C33</f>
        <v>281892.72829770338</v>
      </c>
      <c r="D40" s="49"/>
      <c r="E40" s="49"/>
      <c r="F40" s="6"/>
    </row>
    <row r="41" spans="1:6" ht="16.5" customHeight="1" x14ac:dyDescent="0.2">
      <c r="B41" s="57" t="s">
        <v>328</v>
      </c>
      <c r="C41" s="125">
        <f>C39+C40</f>
        <v>3419375.3257977031</v>
      </c>
      <c r="D41" s="49"/>
      <c r="E41" s="49"/>
      <c r="F41" s="6"/>
    </row>
    <row r="42" spans="1:6" ht="16.5" customHeight="1" x14ac:dyDescent="0.2">
      <c r="B42" s="47" t="s">
        <v>329</v>
      </c>
      <c r="C42" s="56">
        <f>-C32</f>
        <v>-958435.27621219144</v>
      </c>
      <c r="D42" s="49"/>
      <c r="E42" s="49"/>
      <c r="F42" s="6"/>
    </row>
    <row r="43" spans="1:6" ht="16.5" customHeight="1" x14ac:dyDescent="0.2">
      <c r="B43" s="47" t="s">
        <v>330</v>
      </c>
      <c r="C43" s="56">
        <f>-C36</f>
        <v>-463530.375</v>
      </c>
      <c r="D43" s="49"/>
      <c r="E43" s="49"/>
      <c r="F43" s="6"/>
    </row>
    <row r="44" spans="1:6" ht="16.5" customHeight="1" x14ac:dyDescent="0.2">
      <c r="B44" s="57" t="s">
        <v>331</v>
      </c>
      <c r="C44" s="125">
        <f>C42+C43</f>
        <v>-1421965.6512121914</v>
      </c>
      <c r="D44" s="49"/>
      <c r="E44" s="49"/>
      <c r="F44" s="6"/>
    </row>
    <row r="45" spans="1:6" ht="16.5" customHeight="1" x14ac:dyDescent="0.2">
      <c r="B45" s="57" t="s">
        <v>332</v>
      </c>
      <c r="C45" s="125">
        <f>C41+C44</f>
        <v>1997409.6745855117</v>
      </c>
      <c r="D45" s="49"/>
      <c r="E45" s="49"/>
      <c r="F45" s="6"/>
    </row>
    <row r="46" spans="1:6" ht="16.5" customHeight="1" x14ac:dyDescent="0.2">
      <c r="B46" s="49"/>
      <c r="C46" s="49"/>
      <c r="D46" s="49"/>
      <c r="E46" s="49"/>
      <c r="F46" s="6"/>
    </row>
    <row r="47" spans="1:6" ht="16.5" customHeight="1" x14ac:dyDescent="0.2">
      <c r="A47" s="165" t="s">
        <v>333</v>
      </c>
      <c r="B47" s="165"/>
      <c r="C47" s="165"/>
      <c r="D47" s="165"/>
      <c r="E47" s="165"/>
      <c r="F47" s="6"/>
    </row>
    <row r="48" spans="1:6" ht="16.5" customHeight="1" x14ac:dyDescent="0.2">
      <c r="B48" s="47" t="s">
        <v>334</v>
      </c>
      <c r="C48" s="132">
        <f>C18*12</f>
        <v>37649791.169999994</v>
      </c>
      <c r="D48" s="49"/>
      <c r="E48" s="49"/>
      <c r="F48" s="6"/>
    </row>
    <row r="49" spans="1:6" ht="16.5" customHeight="1" x14ac:dyDescent="0.2">
      <c r="B49" s="47" t="s">
        <v>335</v>
      </c>
      <c r="C49" s="132">
        <f>C33*12</f>
        <v>3382712.7395724403</v>
      </c>
      <c r="D49" s="49"/>
      <c r="E49" s="49"/>
      <c r="F49" s="6"/>
    </row>
    <row r="50" spans="1:6" ht="16.5" customHeight="1" x14ac:dyDescent="0.2">
      <c r="B50" s="47" t="s">
        <v>336</v>
      </c>
      <c r="C50" s="132">
        <f>C32*12</f>
        <v>11501223.314546298</v>
      </c>
      <c r="D50" s="49"/>
      <c r="E50" s="49"/>
      <c r="F50" s="6"/>
    </row>
    <row r="51" spans="1:6" ht="16.5" customHeight="1" x14ac:dyDescent="0.2">
      <c r="B51" s="47" t="s">
        <v>337</v>
      </c>
      <c r="C51" s="132">
        <f>C36*12</f>
        <v>5562364.5</v>
      </c>
      <c r="D51" s="49"/>
      <c r="E51" s="49"/>
      <c r="F51" s="6"/>
    </row>
    <row r="52" spans="1:6" ht="16.5" customHeight="1" x14ac:dyDescent="0.2">
      <c r="B52" s="57" t="s">
        <v>338</v>
      </c>
      <c r="C52" s="133">
        <f>C45*12</f>
        <v>23968916.095026139</v>
      </c>
      <c r="D52" s="49"/>
      <c r="E52" s="49"/>
      <c r="F52" s="6"/>
    </row>
    <row r="53" spans="1:6" ht="16.5" customHeight="1" x14ac:dyDescent="0.2">
      <c r="B53" s="52" t="s">
        <v>339</v>
      </c>
      <c r="C53" s="49"/>
      <c r="D53" s="49"/>
      <c r="E53" s="49"/>
      <c r="F53" s="6"/>
    </row>
    <row r="54" spans="1:6" ht="16.5" customHeight="1" x14ac:dyDescent="0.2">
      <c r="B54" s="49"/>
      <c r="C54" s="49"/>
      <c r="D54" s="49"/>
      <c r="E54" s="49"/>
      <c r="F54" s="6"/>
    </row>
    <row r="55" spans="1:6" ht="16.5" customHeight="1" x14ac:dyDescent="0.2">
      <c r="A55" s="165" t="s">
        <v>392</v>
      </c>
      <c r="B55" s="165"/>
      <c r="C55" s="165"/>
      <c r="D55" s="165"/>
      <c r="E55" s="165"/>
      <c r="F55" s="6"/>
    </row>
    <row r="56" spans="1:6" ht="16.5" customHeight="1" x14ac:dyDescent="0.2">
      <c r="B56" s="47" t="s">
        <v>393</v>
      </c>
      <c r="C56" s="97">
        <f>CEILING(C11/'1. Inputs'!C12,1)</f>
        <v>2862</v>
      </c>
      <c r="D56" s="49"/>
      <c r="E56" s="52" t="s">
        <v>394</v>
      </c>
      <c r="F56" s="6" t="s">
        <v>343</v>
      </c>
    </row>
    <row r="57" spans="1:6" ht="16.5" customHeight="1" x14ac:dyDescent="0.2">
      <c r="B57" s="47" t="s">
        <v>344</v>
      </c>
      <c r="C57" s="134">
        <f>C56/1000</f>
        <v>2.8620000000000001</v>
      </c>
      <c r="D57" s="49"/>
      <c r="E57" s="49"/>
      <c r="F57" s="6" t="s">
        <v>5</v>
      </c>
    </row>
    <row r="58" spans="1:6" ht="16.5" customHeight="1" x14ac:dyDescent="0.2">
      <c r="B58" s="47" t="s">
        <v>345</v>
      </c>
      <c r="C58" s="53">
        <f>C12*12/1000</f>
        <v>18541.215</v>
      </c>
      <c r="D58" s="49"/>
      <c r="E58" s="49"/>
      <c r="F58" s="6" t="s">
        <v>5</v>
      </c>
    </row>
    <row r="59" spans="1:6" ht="16.5" customHeight="1" x14ac:dyDescent="0.2">
      <c r="B59" s="47" t="s">
        <v>346</v>
      </c>
      <c r="C59" s="53">
        <f>C26*12/3.6</f>
        <v>46353.037499999999</v>
      </c>
      <c r="D59" s="49"/>
      <c r="E59" s="49"/>
      <c r="F59" s="6" t="s">
        <v>5</v>
      </c>
    </row>
    <row r="60" spans="1:6" ht="16.5" customHeight="1" x14ac:dyDescent="0.2">
      <c r="B60" s="47" t="s">
        <v>348</v>
      </c>
      <c r="C60" s="53">
        <f>C27*12/3.6</f>
        <v>11588.259375</v>
      </c>
      <c r="D60" s="49"/>
      <c r="E60" s="49"/>
      <c r="F60" s="6" t="s">
        <v>5</v>
      </c>
    </row>
    <row r="61" spans="1:6" ht="16.5" customHeight="1" x14ac:dyDescent="0.2">
      <c r="B61" s="47" t="s">
        <v>349</v>
      </c>
      <c r="C61" s="98">
        <f>C60/'5. Parametros cliente'!C14</f>
        <v>14132.023628048781</v>
      </c>
      <c r="D61" s="49"/>
      <c r="E61" s="49"/>
      <c r="F61" s="6" t="s">
        <v>5</v>
      </c>
    </row>
    <row r="62" spans="1:6" ht="16.5" customHeight="1" x14ac:dyDescent="0.2">
      <c r="B62" s="47" t="s">
        <v>350</v>
      </c>
      <c r="C62" s="53">
        <f>C59-C61</f>
        <v>32221.013871951218</v>
      </c>
      <c r="D62" s="49"/>
      <c r="E62" s="49"/>
      <c r="F62" s="6" t="s">
        <v>5</v>
      </c>
    </row>
    <row r="63" spans="1:6" ht="16.5" customHeight="1" x14ac:dyDescent="0.2">
      <c r="B63" s="47" t="s">
        <v>351</v>
      </c>
      <c r="C63" s="98">
        <f>C58/'5. Parametros cliente'!C17+C60/'5. Parametros cliente'!C14</f>
        <v>58960.880011027512</v>
      </c>
      <c r="D63" s="49"/>
      <c r="E63" s="49"/>
      <c r="F63" s="6" t="s">
        <v>5</v>
      </c>
    </row>
    <row r="64" spans="1:6" ht="16.5" customHeight="1" x14ac:dyDescent="0.2">
      <c r="B64" s="47" t="s">
        <v>352</v>
      </c>
      <c r="C64" s="53">
        <f>C63-C59</f>
        <v>12607.842511027513</v>
      </c>
      <c r="D64" s="49"/>
      <c r="E64" s="49"/>
      <c r="F64" s="6" t="s">
        <v>5</v>
      </c>
    </row>
    <row r="65" spans="1:6" ht="16.5" customHeight="1" x14ac:dyDescent="0.2">
      <c r="B65" s="57" t="s">
        <v>395</v>
      </c>
      <c r="C65" s="135">
        <f>C64*'5. Parametros cliente'!C16</f>
        <v>5547.4507048521054</v>
      </c>
      <c r="D65" s="49"/>
      <c r="E65" s="52" t="s">
        <v>396</v>
      </c>
      <c r="F65" s="6" t="s">
        <v>5</v>
      </c>
    </row>
    <row r="66" spans="1:6" ht="16.5" customHeight="1" x14ac:dyDescent="0.2">
      <c r="B66" s="57" t="s">
        <v>355</v>
      </c>
      <c r="C66" s="136">
        <f>C65*1000/(C11*12)</f>
        <v>0.2243967306694345</v>
      </c>
      <c r="D66" s="49"/>
      <c r="E66" s="52" t="s">
        <v>356</v>
      </c>
      <c r="F66" s="6" t="s">
        <v>5</v>
      </c>
    </row>
    <row r="67" spans="1:6" ht="16.5" customHeight="1" x14ac:dyDescent="0.2">
      <c r="B67" s="52" t="s">
        <v>397</v>
      </c>
      <c r="C67" s="49"/>
      <c r="D67" s="49"/>
      <c r="E67" s="49"/>
      <c r="F67" s="6"/>
    </row>
    <row r="68" spans="1:6" ht="16.5" customHeight="1" x14ac:dyDescent="0.2">
      <c r="B68" s="49"/>
      <c r="C68" s="49"/>
      <c r="D68" s="49"/>
      <c r="E68" s="49"/>
      <c r="F68" s="6"/>
    </row>
    <row r="69" spans="1:6" ht="16.5" customHeight="1" x14ac:dyDescent="0.2">
      <c r="A69" s="165" t="s">
        <v>398</v>
      </c>
      <c r="B69" s="165"/>
      <c r="C69" s="165"/>
      <c r="D69" s="165"/>
      <c r="E69" s="165"/>
      <c r="F69" s="6"/>
    </row>
    <row r="70" spans="1:6" ht="16.5" customHeight="1" x14ac:dyDescent="0.2">
      <c r="B70" s="47" t="s">
        <v>358</v>
      </c>
      <c r="C70" s="137">
        <f>C56*'1. Inputs'!C16</f>
        <v>4006800</v>
      </c>
      <c r="D70" s="49"/>
      <c r="E70" s="49"/>
      <c r="F70" s="6" t="s">
        <v>5</v>
      </c>
    </row>
    <row r="71" spans="1:6" ht="16.5" customHeight="1" x14ac:dyDescent="0.2">
      <c r="B71" s="57" t="s">
        <v>359</v>
      </c>
      <c r="C71" s="138">
        <f>C70*'1. Inputs'!C17</f>
        <v>70119000</v>
      </c>
      <c r="D71" s="49"/>
      <c r="E71" s="49"/>
      <c r="F71" s="6" t="s">
        <v>5</v>
      </c>
    </row>
    <row r="72" spans="1:6" ht="16.5" customHeight="1" x14ac:dyDescent="0.2">
      <c r="B72" s="47" t="s">
        <v>360</v>
      </c>
      <c r="C72" s="139">
        <f>C71*'1. Inputs'!C18</f>
        <v>21035700</v>
      </c>
      <c r="D72" s="49"/>
      <c r="E72" s="49"/>
      <c r="F72" s="6" t="s">
        <v>5</v>
      </c>
    </row>
    <row r="73" spans="1:6" ht="16.5" customHeight="1" x14ac:dyDescent="0.2">
      <c r="B73" s="47" t="s">
        <v>361</v>
      </c>
      <c r="C73" s="132">
        <f>C52+C72</f>
        <v>45004616.095026135</v>
      </c>
      <c r="D73" s="49"/>
      <c r="E73" s="49"/>
      <c r="F73" s="6" t="s">
        <v>5</v>
      </c>
    </row>
    <row r="74" spans="1:6" ht="16.5" customHeight="1" x14ac:dyDescent="0.2">
      <c r="B74" s="47" t="s">
        <v>362</v>
      </c>
      <c r="C74" s="132">
        <f>C52</f>
        <v>23968916.095026139</v>
      </c>
      <c r="D74" s="49"/>
      <c r="E74" s="49"/>
      <c r="F74" s="6" t="s">
        <v>5</v>
      </c>
    </row>
    <row r="75" spans="1:6" ht="16.5" customHeight="1" x14ac:dyDescent="0.2">
      <c r="B75" s="47" t="s">
        <v>363</v>
      </c>
      <c r="C75" s="132">
        <f>-C71+C73</f>
        <v>-25114383.904973865</v>
      </c>
      <c r="D75" s="49"/>
      <c r="E75" s="49"/>
      <c r="F75" s="6" t="s">
        <v>5</v>
      </c>
    </row>
    <row r="76" spans="1:6" ht="16.5" customHeight="1" x14ac:dyDescent="0.2">
      <c r="B76" s="47" t="s">
        <v>364</v>
      </c>
      <c r="C76" s="132">
        <f>C75+C74</f>
        <v>-1145467.8099477254</v>
      </c>
      <c r="D76" s="49"/>
      <c r="E76" s="49"/>
      <c r="F76" s="6" t="s">
        <v>5</v>
      </c>
    </row>
    <row r="77" spans="1:6" ht="16.5" customHeight="1" x14ac:dyDescent="0.2">
      <c r="B77" s="47" t="s">
        <v>365</v>
      </c>
      <c r="C77" s="132">
        <f>C76+C74</f>
        <v>22823448.285078414</v>
      </c>
      <c r="D77" s="49"/>
      <c r="E77" s="49"/>
      <c r="F77" s="6" t="s">
        <v>5</v>
      </c>
    </row>
    <row r="78" spans="1:6" ht="16.5" customHeight="1" x14ac:dyDescent="0.2">
      <c r="B78" s="140" t="s">
        <v>366</v>
      </c>
      <c r="C78" s="141">
        <f>C77+C74</f>
        <v>46792364.380104557</v>
      </c>
      <c r="D78" s="49"/>
      <c r="E78" s="49"/>
      <c r="F78" s="6" t="s">
        <v>368</v>
      </c>
    </row>
    <row r="79" spans="1:6" x14ac:dyDescent="0.2">
      <c r="B79" s="140" t="s">
        <v>369</v>
      </c>
      <c r="C79" s="141">
        <f>C78+C74</f>
        <v>70761280.475130692</v>
      </c>
      <c r="D79" s="49"/>
      <c r="E79" s="49"/>
      <c r="F79" s="6"/>
    </row>
    <row r="80" spans="1:6" ht="26" x14ac:dyDescent="0.2">
      <c r="B80" s="142" t="s">
        <v>370</v>
      </c>
      <c r="C80" s="143">
        <f>IF(C75&gt;=0,ABS(-C71)/C73,IF(C76&gt;=0,1+ABS(C75)/C74,IF(C77&gt;=0,2+ABS(C76)/C74,IF(C78&gt;=0,3+ABS(C77)/C74,IF(C79&gt;=0,4+ABS(C78)/C74,"&gt;5 años")))))</f>
        <v>2.0477897208787605</v>
      </c>
      <c r="D80" s="49"/>
      <c r="E80" s="144" t="s">
        <v>399</v>
      </c>
      <c r="F80" s="6"/>
    </row>
    <row r="84" spans="6:6" x14ac:dyDescent="0.2">
      <c r="F84" s="6"/>
    </row>
    <row r="85" spans="6:6" x14ac:dyDescent="0.2">
      <c r="F85" s="6"/>
    </row>
    <row r="86" spans="6:6" x14ac:dyDescent="0.2">
      <c r="F86" s="6"/>
    </row>
    <row r="87" spans="6:6" x14ac:dyDescent="0.2">
      <c r="F87" s="6"/>
    </row>
    <row r="88" spans="6:6" x14ac:dyDescent="0.2">
      <c r="F88" s="6"/>
    </row>
    <row r="89" spans="6:6" x14ac:dyDescent="0.2">
      <c r="F89" s="6"/>
    </row>
    <row r="90" spans="6:6" x14ac:dyDescent="0.2">
      <c r="F90" s="6"/>
    </row>
    <row r="91" spans="6:6" x14ac:dyDescent="0.2">
      <c r="F91" s="6"/>
    </row>
    <row r="92" spans="6:6" x14ac:dyDescent="0.2">
      <c r="F92" s="6"/>
    </row>
    <row r="93" spans="6:6" x14ac:dyDescent="0.2">
      <c r="F93" s="6"/>
    </row>
    <row r="94" spans="6:6" x14ac:dyDescent="0.2">
      <c r="F94" s="6"/>
    </row>
    <row r="97" spans="6:6" x14ac:dyDescent="0.2">
      <c r="F97" s="6"/>
    </row>
    <row r="98" spans="6:6" x14ac:dyDescent="0.2">
      <c r="F98" s="6"/>
    </row>
    <row r="99" spans="6:6" x14ac:dyDescent="0.2">
      <c r="F99" s="6"/>
    </row>
    <row r="100" spans="6:6" x14ac:dyDescent="0.2">
      <c r="F100" s="6"/>
    </row>
    <row r="101" spans="6:6" x14ac:dyDescent="0.2">
      <c r="F101" s="6"/>
    </row>
    <row r="102" spans="6:6" x14ac:dyDescent="0.2">
      <c r="F102" s="6"/>
    </row>
    <row r="103" spans="6:6" x14ac:dyDescent="0.2">
      <c r="F103" s="6"/>
    </row>
    <row r="104" spans="6:6" x14ac:dyDescent="0.2">
      <c r="F104" s="6"/>
    </row>
    <row r="105" spans="6:6" x14ac:dyDescent="0.2">
      <c r="F105" s="6"/>
    </row>
  </sheetData>
  <mergeCells count="13">
    <mergeCell ref="A1:E1"/>
    <mergeCell ref="A2:E2"/>
    <mergeCell ref="A4:E4"/>
    <mergeCell ref="A10:E10"/>
    <mergeCell ref="A15:E15"/>
    <mergeCell ref="A47:E47"/>
    <mergeCell ref="A55:E55"/>
    <mergeCell ref="A69:E69"/>
    <mergeCell ref="A20:E20"/>
    <mergeCell ref="A25:E25"/>
    <mergeCell ref="A30:E30"/>
    <mergeCell ref="A35:E35"/>
    <mergeCell ref="A38:E3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1"/>
  <sheetViews>
    <sheetView showGridLines="0" topLeftCell="A15" zoomScaleNormal="100" workbookViewId="0">
      <selection activeCell="D3" sqref="D3"/>
    </sheetView>
  </sheetViews>
  <sheetFormatPr baseColWidth="10" defaultColWidth="8.6640625" defaultRowHeight="15" x14ac:dyDescent="0.2"/>
  <cols>
    <col min="1" max="1" width="4" customWidth="1"/>
    <col min="2" max="2" width="45" customWidth="1"/>
    <col min="3" max="4" width="22" customWidth="1"/>
    <col min="5" max="5" width="60" customWidth="1"/>
  </cols>
  <sheetData>
    <row r="1" spans="1:5" ht="21.75" customHeight="1" x14ac:dyDescent="0.2">
      <c r="A1" s="166" t="s">
        <v>400</v>
      </c>
      <c r="B1" s="166"/>
      <c r="C1" s="166"/>
      <c r="D1" s="166"/>
      <c r="E1" s="166"/>
    </row>
    <row r="3" spans="1:5" ht="21.75" customHeight="1" x14ac:dyDescent="0.2">
      <c r="B3" s="145" t="s">
        <v>401</v>
      </c>
      <c r="C3" s="146" t="s">
        <v>402</v>
      </c>
      <c r="D3" s="147" t="s">
        <v>403</v>
      </c>
      <c r="E3" s="148" t="s">
        <v>404</v>
      </c>
    </row>
    <row r="5" spans="1:5" ht="18" customHeight="1" x14ac:dyDescent="0.2">
      <c r="A5" s="165" t="s">
        <v>405</v>
      </c>
      <c r="B5" s="165"/>
      <c r="C5" s="165"/>
      <c r="D5" s="165"/>
      <c r="E5" s="165"/>
    </row>
    <row r="6" spans="1:5" ht="18" customHeight="1" x14ac:dyDescent="0.2">
      <c r="B6" s="3" t="s">
        <v>220</v>
      </c>
      <c r="C6" s="84">
        <f>'6. Dashboard Contab CFE'!C5</f>
        <v>1100400</v>
      </c>
      <c r="D6" s="92">
        <f>'7. Dashboard Contab PPA'!C5</f>
        <v>2060135</v>
      </c>
      <c r="E6" s="5" t="s">
        <v>406</v>
      </c>
    </row>
    <row r="7" spans="1:5" ht="18" customHeight="1" x14ac:dyDescent="0.2">
      <c r="B7" s="3" t="s">
        <v>407</v>
      </c>
      <c r="C7" s="118">
        <f>'6. Dashboard Contab CFE'!C7</f>
        <v>3268246.96</v>
      </c>
      <c r="D7" s="139">
        <f>'7. Dashboard Contab PPA'!C7</f>
        <v>4183310.13</v>
      </c>
    </row>
    <row r="8" spans="1:5" ht="18" customHeight="1" x14ac:dyDescent="0.2">
      <c r="B8" s="3" t="s">
        <v>223</v>
      </c>
      <c r="C8" s="90">
        <f>'6. Dashboard Contab CFE'!C8</f>
        <v>2.9700535805161761</v>
      </c>
      <c r="D8" s="149">
        <f>'7. Dashboard Contab PPA'!C8</f>
        <v>2.0305999995145947</v>
      </c>
      <c r="E8" s="5" t="s">
        <v>408</v>
      </c>
    </row>
    <row r="9" spans="1:5" ht="18" customHeight="1" x14ac:dyDescent="0.2">
      <c r="C9" s="21"/>
      <c r="D9" s="49"/>
    </row>
    <row r="10" spans="1:5" ht="18" customHeight="1" x14ac:dyDescent="0.2">
      <c r="A10" s="165" t="s">
        <v>409</v>
      </c>
      <c r="B10" s="165"/>
      <c r="C10" s="165"/>
      <c r="D10" s="165"/>
      <c r="E10" s="165"/>
    </row>
    <row r="11" spans="1:5" ht="18" customHeight="1" x14ac:dyDescent="0.2">
      <c r="B11" s="150" t="s">
        <v>410</v>
      </c>
      <c r="C11" s="117">
        <f>'8. Dashboard Cogen CFE'!C51</f>
        <v>2610501.1500000004</v>
      </c>
      <c r="D11" s="138">
        <f>'9. Dashboard Cogen PPA'!C18</f>
        <v>3137482.5974999997</v>
      </c>
      <c r="E11" s="5" t="s">
        <v>411</v>
      </c>
    </row>
    <row r="12" spans="1:5" ht="18" customHeight="1" x14ac:dyDescent="0.2">
      <c r="B12" s="151" t="s">
        <v>412</v>
      </c>
      <c r="C12" s="118">
        <f>'8. Dashboard Cogen CFE'!C26</f>
        <v>1397364.4300000002</v>
      </c>
      <c r="D12" s="61" t="str">
        <f>"N/A"</f>
        <v>N/A</v>
      </c>
      <c r="E12" s="5" t="s">
        <v>413</v>
      </c>
    </row>
    <row r="13" spans="1:5" ht="18" customHeight="1" x14ac:dyDescent="0.2">
      <c r="B13" s="151" t="s">
        <v>414</v>
      </c>
      <c r="C13" s="118">
        <f>'8. Dashboard Cogen CFE'!C34</f>
        <v>852040.59000000008</v>
      </c>
      <c r="D13" s="61" t="str">
        <f>"N/A"</f>
        <v>N/A</v>
      </c>
      <c r="E13" s="5" t="s">
        <v>415</v>
      </c>
    </row>
    <row r="14" spans="1:5" ht="18" customHeight="1" x14ac:dyDescent="0.2">
      <c r="B14" s="151" t="s">
        <v>416</v>
      </c>
      <c r="C14" s="118">
        <f>'8. Dashboard Cogen CFE'!C41</f>
        <v>204619.25</v>
      </c>
      <c r="D14" s="61" t="str">
        <f>"N/A"</f>
        <v>N/A</v>
      </c>
      <c r="E14" s="5" t="s">
        <v>417</v>
      </c>
    </row>
    <row r="15" spans="1:5" ht="18" customHeight="1" x14ac:dyDescent="0.2">
      <c r="B15" s="152" t="s">
        <v>418</v>
      </c>
      <c r="C15" s="153">
        <f>'8. Dashboard Cogen CFE'!C48</f>
        <v>156476.88</v>
      </c>
      <c r="D15" s="154" t="str">
        <f>"N/A"</f>
        <v>N/A</v>
      </c>
      <c r="E15" s="10" t="s">
        <v>419</v>
      </c>
    </row>
    <row r="16" spans="1:5" ht="18" customHeight="1" x14ac:dyDescent="0.2">
      <c r="B16" s="3" t="s">
        <v>420</v>
      </c>
      <c r="C16" s="118">
        <f>'8. Dashboard Cogen CFE'!C61</f>
        <v>150570.11225904748</v>
      </c>
      <c r="D16" s="139">
        <f>'9. Dashboard Cogen PPA'!C33</f>
        <v>281892.72829770338</v>
      </c>
      <c r="E16" s="5" t="s">
        <v>421</v>
      </c>
    </row>
    <row r="17" spans="1:5" ht="18" customHeight="1" x14ac:dyDescent="0.2">
      <c r="B17" s="150" t="s">
        <v>422</v>
      </c>
      <c r="C17" s="117">
        <f>'8. Dashboard Cogen CFE'!C69</f>
        <v>2761071.2622590479</v>
      </c>
      <c r="D17" s="138">
        <f>'9. Dashboard Cogen PPA'!C41</f>
        <v>3419375.3257977031</v>
      </c>
    </row>
    <row r="18" spans="1:5" ht="18" customHeight="1" x14ac:dyDescent="0.2">
      <c r="A18" s="172"/>
      <c r="B18" s="172"/>
      <c r="C18" s="172"/>
      <c r="D18" s="172"/>
      <c r="E18" s="172"/>
    </row>
    <row r="19" spans="1:5" ht="18" customHeight="1" x14ac:dyDescent="0.2">
      <c r="A19" s="2" t="s">
        <v>423</v>
      </c>
    </row>
    <row r="20" spans="1:5" ht="18" customHeight="1" x14ac:dyDescent="0.2">
      <c r="B20" s="3" t="s">
        <v>424</v>
      </c>
      <c r="C20" s="118">
        <f>'8. Dashboard Cogen CFE'!C60</f>
        <v>511938.38168076146</v>
      </c>
      <c r="D20" s="139">
        <f>'9. Dashboard Cogen PPA'!C32</f>
        <v>958435.27621219144</v>
      </c>
    </row>
    <row r="21" spans="1:5" ht="18" customHeight="1" x14ac:dyDescent="0.2">
      <c r="B21" s="3" t="s">
        <v>425</v>
      </c>
      <c r="C21" s="118">
        <f>'8. Dashboard Cogen CFE'!C64</f>
        <v>247590</v>
      </c>
      <c r="D21" s="139">
        <f>'9. Dashboard Cogen PPA'!C36</f>
        <v>463530.375</v>
      </c>
    </row>
    <row r="22" spans="1:5" ht="18" customHeight="1" x14ac:dyDescent="0.2">
      <c r="B22" s="150" t="s">
        <v>426</v>
      </c>
      <c r="C22" s="117">
        <f>-'8. Dashboard Cogen CFE'!C72</f>
        <v>759528.38168076146</v>
      </c>
      <c r="D22" s="138">
        <f>-'9. Dashboard Cogen PPA'!C44</f>
        <v>1421965.6512121914</v>
      </c>
    </row>
    <row r="23" spans="1:5" ht="18" customHeight="1" x14ac:dyDescent="0.2">
      <c r="A23" s="172"/>
      <c r="B23" s="172"/>
      <c r="C23" s="172"/>
      <c r="D23" s="172"/>
      <c r="E23" s="172"/>
    </row>
    <row r="24" spans="1:5" ht="18" customHeight="1" x14ac:dyDescent="0.2">
      <c r="A24" s="1" t="s">
        <v>427</v>
      </c>
    </row>
    <row r="25" spans="1:5" ht="18" customHeight="1" x14ac:dyDescent="0.2">
      <c r="B25" s="150" t="s">
        <v>332</v>
      </c>
      <c r="C25" s="117">
        <f>'8. Dashboard Cogen CFE'!C73</f>
        <v>2001542.8805782865</v>
      </c>
      <c r="D25" s="138">
        <f>'9. Dashboard Cogen PPA'!C45</f>
        <v>1997409.6745855117</v>
      </c>
    </row>
    <row r="26" spans="1:5" ht="18" customHeight="1" x14ac:dyDescent="0.2">
      <c r="B26" s="150" t="s">
        <v>428</v>
      </c>
      <c r="C26" s="117">
        <f>'8. Dashboard Cogen CFE'!C80</f>
        <v>24018514.566939436</v>
      </c>
      <c r="D26" s="138">
        <f>'9. Dashboard Cogen PPA'!C52</f>
        <v>23968916.095026139</v>
      </c>
      <c r="E26" s="5" t="s">
        <v>429</v>
      </c>
    </row>
    <row r="27" spans="1:5" ht="18" customHeight="1" x14ac:dyDescent="0.2">
      <c r="A27" s="172"/>
      <c r="B27" s="172"/>
      <c r="C27" s="172"/>
      <c r="D27" s="172"/>
      <c r="E27" s="172"/>
    </row>
    <row r="28" spans="1:5" ht="18" customHeight="1" x14ac:dyDescent="0.2">
      <c r="A28" s="2" t="s">
        <v>430</v>
      </c>
    </row>
    <row r="29" spans="1:5" ht="18" customHeight="1" x14ac:dyDescent="0.2">
      <c r="B29" s="3" t="s">
        <v>431</v>
      </c>
      <c r="C29" s="29">
        <f>'8. Dashboard Cogen CFE'!C84</f>
        <v>1529</v>
      </c>
      <c r="D29" s="97">
        <f>'9. Dashboard Cogen PPA'!C56</f>
        <v>2862</v>
      </c>
      <c r="E29" s="5" t="s">
        <v>432</v>
      </c>
    </row>
    <row r="30" spans="1:5" ht="18" customHeight="1" x14ac:dyDescent="0.2">
      <c r="B30" s="3" t="s">
        <v>433</v>
      </c>
      <c r="C30" s="155">
        <f>'8. Dashboard Cogen CFE'!C93</f>
        <v>2963.1139491437484</v>
      </c>
      <c r="D30" s="156">
        <f>'9. Dashboard Cogen PPA'!C65</f>
        <v>5547.4507048521054</v>
      </c>
      <c r="E30" s="5" t="s">
        <v>434</v>
      </c>
    </row>
    <row r="31" spans="1:5" ht="18" customHeight="1" x14ac:dyDescent="0.2">
      <c r="B31" s="3" t="s">
        <v>355</v>
      </c>
      <c r="C31" s="89">
        <f>'8. Dashboard Cogen CFE'!C94</f>
        <v>0.22439673066943447</v>
      </c>
      <c r="D31" s="123">
        <f>'9. Dashboard Cogen PPA'!C66</f>
        <v>0.2243967306694345</v>
      </c>
    </row>
    <row r="32" spans="1:5" ht="18" customHeight="1" x14ac:dyDescent="0.2">
      <c r="A32" s="172"/>
      <c r="B32" s="172"/>
      <c r="C32" s="172"/>
      <c r="D32" s="172"/>
      <c r="E32" s="172"/>
    </row>
    <row r="33" spans="1:5" ht="18" customHeight="1" x14ac:dyDescent="0.2">
      <c r="A33" s="2" t="s">
        <v>435</v>
      </c>
    </row>
    <row r="34" spans="1:5" ht="18" customHeight="1" x14ac:dyDescent="0.2">
      <c r="B34" s="3" t="s">
        <v>359</v>
      </c>
      <c r="C34" s="118">
        <f>'8. Dashboard Cogen CFE'!C98</f>
        <v>37460500</v>
      </c>
      <c r="D34" s="139">
        <f>'9. Dashboard Cogen PPA'!C71</f>
        <v>70119000</v>
      </c>
    </row>
    <row r="35" spans="1:5" ht="18" customHeight="1" x14ac:dyDescent="0.2">
      <c r="B35" s="3" t="s">
        <v>360</v>
      </c>
      <c r="C35" s="118">
        <f>'8. Dashboard Cogen CFE'!C99</f>
        <v>11238150</v>
      </c>
      <c r="D35" s="139">
        <f>'9. Dashboard Cogen PPA'!C72</f>
        <v>21035700</v>
      </c>
    </row>
    <row r="36" spans="1:5" ht="18" customHeight="1" x14ac:dyDescent="0.2">
      <c r="B36" s="3" t="s">
        <v>436</v>
      </c>
      <c r="C36" s="118">
        <f>'8. Dashboard Cogen CFE'!C100</f>
        <v>35256664.566939436</v>
      </c>
      <c r="D36" s="139">
        <f>'9. Dashboard Cogen PPA'!C73</f>
        <v>45004616.095026135</v>
      </c>
    </row>
    <row r="37" spans="1:5" ht="18" customHeight="1" x14ac:dyDescent="0.2">
      <c r="B37" s="150" t="s">
        <v>437</v>
      </c>
      <c r="C37" s="157">
        <f>'8. Dashboard Cogen CFE'!C107</f>
        <v>1.0917556923396945</v>
      </c>
      <c r="D37" s="158">
        <f>'9. Dashboard Cogen PPA'!C80</f>
        <v>2.0477897208787605</v>
      </c>
    </row>
    <row r="38" spans="1:5" ht="18" customHeight="1" x14ac:dyDescent="0.2">
      <c r="A38" s="172"/>
      <c r="B38" s="172"/>
      <c r="C38" s="172"/>
      <c r="D38" s="172"/>
      <c r="E38" s="172"/>
    </row>
    <row r="39" spans="1:5" ht="18" customHeight="1" x14ac:dyDescent="0.2">
      <c r="A39" s="2" t="s">
        <v>438</v>
      </c>
    </row>
    <row r="40" spans="1:5" ht="18" customHeight="1" x14ac:dyDescent="0.2">
      <c r="B40" s="3" t="s">
        <v>439</v>
      </c>
      <c r="C40" s="159" t="str">
        <f>IF(ABS(('8. Dashboard Cogen CFE'!C16+'8. Dashboard Cogen CFE'!C18+'8. Dashboard Cogen CFE'!C20)-'8. Dashboard Cogen CFE'!C11)&lt;1,"OK","REVISAR")</f>
        <v>OK</v>
      </c>
      <c r="D40" s="61" t="str">
        <f>"N/A"</f>
        <v>N/A</v>
      </c>
      <c r="E40" s="5" t="s">
        <v>440</v>
      </c>
    </row>
    <row r="41" spans="1:5" ht="18" customHeight="1" x14ac:dyDescent="0.2">
      <c r="B41" s="3" t="s">
        <v>441</v>
      </c>
      <c r="C41" s="159" t="str">
        <f>IF(ABS('2. Factura CFE sep24'!C51*'2. Factura CFE sep24'!C18-('2. Factura CFE sep24'!C36+'2. Factura CFE sep24'!C37+'2. Factura CFE sep24'!C38))&lt;5,"OK","REVISAR")</f>
        <v>OK</v>
      </c>
      <c r="D41" s="61" t="str">
        <f>"N/A"</f>
        <v>N/A</v>
      </c>
    </row>
    <row r="42" spans="1:5" ht="18" customHeight="1" x14ac:dyDescent="0.2">
      <c r="B42" s="3" t="s">
        <v>442</v>
      </c>
      <c r="C42" s="160" t="str">
        <f>"N/A"</f>
        <v>N/A</v>
      </c>
      <c r="D42" s="161" t="str">
        <f>IF(ABS('3. Factura PPA sep24'!C20-'3. Factura PPA sep24'!C21)&lt;5,"OK","REVISAR")</f>
        <v>OK</v>
      </c>
    </row>
    <row r="43" spans="1:5" ht="18" customHeight="1" x14ac:dyDescent="0.2">
      <c r="B43" s="3" t="s">
        <v>443</v>
      </c>
      <c r="C43" s="159" t="str">
        <f>IF(ABS('4. Factura Gas sep24'!C27-'4. Factura Gas sep24'!C28)&lt;5,"OK","REVISAR")</f>
        <v>OK</v>
      </c>
      <c r="D43" s="61" t="str">
        <f>'10. Validacion'!C42</f>
        <v>N/A</v>
      </c>
      <c r="E43" s="5" t="s">
        <v>444</v>
      </c>
    </row>
    <row r="44" spans="1:5" ht="18" customHeight="1" x14ac:dyDescent="0.2">
      <c r="A44" s="172"/>
      <c r="B44" s="172"/>
      <c r="C44" s="172"/>
      <c r="D44" s="172"/>
      <c r="E44" s="172"/>
    </row>
    <row r="45" spans="1:5" ht="18" customHeight="1" x14ac:dyDescent="0.2">
      <c r="A45" s="2" t="s">
        <v>445</v>
      </c>
    </row>
    <row r="46" spans="1:5" ht="18" customHeight="1" x14ac:dyDescent="0.2">
      <c r="B46" s="5" t="s">
        <v>446</v>
      </c>
      <c r="C46" s="21"/>
      <c r="D46" s="49"/>
    </row>
    <row r="47" spans="1:5" ht="18" customHeight="1" x14ac:dyDescent="0.2">
      <c r="B47" s="5" t="s">
        <v>447</v>
      </c>
      <c r="C47" s="21"/>
      <c r="D47" s="49"/>
    </row>
    <row r="48" spans="1:5" ht="18" customHeight="1" x14ac:dyDescent="0.2">
      <c r="B48" s="5" t="s">
        <v>448</v>
      </c>
      <c r="C48" s="21"/>
      <c r="D48" s="49"/>
    </row>
    <row r="49" spans="2:4" ht="18" customHeight="1" x14ac:dyDescent="0.2">
      <c r="B49" s="5" t="s">
        <v>449</v>
      </c>
      <c r="C49" s="21"/>
      <c r="D49" s="49"/>
    </row>
    <row r="50" spans="2:4" ht="18" customHeight="1" x14ac:dyDescent="0.2">
      <c r="B50" s="5" t="s">
        <v>450</v>
      </c>
      <c r="C50" s="21"/>
      <c r="D50" s="49"/>
    </row>
    <row r="51" spans="2:4" ht="26" x14ac:dyDescent="0.2">
      <c r="B51" s="5" t="s">
        <v>451</v>
      </c>
      <c r="C51" s="21"/>
      <c r="D51" s="49"/>
    </row>
  </sheetData>
  <mergeCells count="9">
    <mergeCell ref="A27:E27"/>
    <mergeCell ref="A32:E32"/>
    <mergeCell ref="A38:E38"/>
    <mergeCell ref="A44:E44"/>
    <mergeCell ref="A1:E1"/>
    <mergeCell ref="A5:E5"/>
    <mergeCell ref="A10:E10"/>
    <mergeCell ref="A18:E18"/>
    <mergeCell ref="A23:E2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5FD06-0DE3-AA41-B304-BB3CD0168F41}">
  <dimension ref="A3:C18"/>
  <sheetViews>
    <sheetView showGridLines="0" zoomScale="150" zoomScaleNormal="150" workbookViewId="0">
      <selection activeCell="E13" sqref="E13"/>
    </sheetView>
  </sheetViews>
  <sheetFormatPr baseColWidth="10" defaultRowHeight="15" x14ac:dyDescent="0.2"/>
  <cols>
    <col min="1" max="1" width="4.6640625" customWidth="1"/>
    <col min="2" max="2" width="28.5" customWidth="1"/>
    <col min="3" max="3" width="22" customWidth="1"/>
  </cols>
  <sheetData>
    <row r="3" spans="1:3" x14ac:dyDescent="0.2">
      <c r="A3" s="145" t="s">
        <v>452</v>
      </c>
      <c r="B3" s="145" t="s">
        <v>401</v>
      </c>
      <c r="C3" s="146" t="s">
        <v>402</v>
      </c>
    </row>
    <row r="4" spans="1:3" x14ac:dyDescent="0.2">
      <c r="A4">
        <v>1</v>
      </c>
      <c r="B4" s="3" t="str">
        <f>'10. Validacion'!B6</f>
        <v>Consumo total (kWh)</v>
      </c>
      <c r="C4" s="84">
        <f>'10. Validacion'!C6</f>
        <v>1100400</v>
      </c>
    </row>
    <row r="5" spans="1:3" x14ac:dyDescent="0.2">
      <c r="A5">
        <v>2</v>
      </c>
      <c r="B5" s="3" t="str">
        <f>'10. Validacion'!B7</f>
        <v>Costo total pre-IVA</v>
      </c>
      <c r="C5" s="118">
        <f>'10. Validacion'!C7</f>
        <v>3268246.96</v>
      </c>
    </row>
    <row r="6" spans="1:3" x14ac:dyDescent="0.2">
      <c r="A6">
        <v>3</v>
      </c>
      <c r="B6" s="3" t="str">
        <f>'10. Validacion'!B8</f>
        <v>Costo unitario promedio ($/kWh)</v>
      </c>
      <c r="C6" s="162">
        <f>'10. Validacion'!C8</f>
        <v>2.9700535805161761</v>
      </c>
    </row>
    <row r="7" spans="1:3" x14ac:dyDescent="0.2">
      <c r="A7">
        <v>4</v>
      </c>
      <c r="B7" s="3" t="str">
        <f>'10. Validacion'!B11</f>
        <v>Ahorro Electricidad MES</v>
      </c>
      <c r="C7" s="118">
        <f>'10. Validacion'!C11</f>
        <v>2610501.1500000004</v>
      </c>
    </row>
    <row r="8" spans="1:3" x14ac:dyDescent="0.2">
      <c r="A8">
        <v>5</v>
      </c>
      <c r="B8" s="3" t="s">
        <v>389</v>
      </c>
      <c r="C8" s="118">
        <f>'10. Validacion'!C16</f>
        <v>150570.11225904748</v>
      </c>
    </row>
    <row r="9" spans="1:3" x14ac:dyDescent="0.2">
      <c r="A9">
        <v>6</v>
      </c>
      <c r="B9" s="163" t="s">
        <v>453</v>
      </c>
      <c r="C9" s="118">
        <f>'10. Validacion'!C17</f>
        <v>2761071.2622590479</v>
      </c>
    </row>
    <row r="10" spans="1:3" x14ac:dyDescent="0.2">
      <c r="A10">
        <v>7</v>
      </c>
      <c r="B10" s="3" t="str">
        <f>'10. Validacion'!B20</f>
        <v>Costo Gas Cogen MES</v>
      </c>
      <c r="C10" s="118">
        <f>'10. Validacion'!C20</f>
        <v>511938.38168076146</v>
      </c>
    </row>
    <row r="11" spans="1:3" x14ac:dyDescent="0.2">
      <c r="A11">
        <v>8</v>
      </c>
      <c r="B11" s="3" t="str">
        <f>'10. Validacion'!B21</f>
        <v>O&amp;M MES</v>
      </c>
      <c r="C11" s="118">
        <f>'10. Validacion'!C21</f>
        <v>247590</v>
      </c>
    </row>
    <row r="12" spans="1:3" x14ac:dyDescent="0.2">
      <c r="A12">
        <v>9</v>
      </c>
      <c r="B12" s="163" t="s">
        <v>454</v>
      </c>
      <c r="C12" s="118">
        <f>'10. Validacion'!C22</f>
        <v>759528.38168076146</v>
      </c>
    </row>
    <row r="13" spans="1:3" x14ac:dyDescent="0.2">
      <c r="A13">
        <v>10</v>
      </c>
      <c r="B13" s="163" t="s">
        <v>455</v>
      </c>
      <c r="C13" s="118">
        <f>'10. Validacion'!C25</f>
        <v>2001542.8805782865</v>
      </c>
    </row>
    <row r="14" spans="1:3" x14ac:dyDescent="0.2">
      <c r="A14">
        <v>11</v>
      </c>
      <c r="B14" t="str">
        <f>'10. Validacion'!B29</f>
        <v>Capacidad nominal kW</v>
      </c>
      <c r="C14" s="29">
        <f>'10. Validacion'!C29</f>
        <v>1529</v>
      </c>
    </row>
    <row r="15" spans="1:3" x14ac:dyDescent="0.2">
      <c r="A15">
        <v>12</v>
      </c>
      <c r="B15" t="str">
        <f>'10. Validacion'!B34</f>
        <v>Inversión MXN</v>
      </c>
      <c r="C15" s="118">
        <f>'10. Validacion'!C34</f>
        <v>37460500</v>
      </c>
    </row>
    <row r="16" spans="1:3" x14ac:dyDescent="0.2">
      <c r="A16">
        <v>13</v>
      </c>
      <c r="B16" t="str">
        <f>'10. Validacion'!B30</f>
        <v>CELs anuales (MWh)</v>
      </c>
      <c r="C16" s="155">
        <f>'10. Validacion'!C30</f>
        <v>2963.1139491437484</v>
      </c>
    </row>
    <row r="17" spans="1:3" x14ac:dyDescent="0.2">
      <c r="A17">
        <v>14</v>
      </c>
      <c r="B17" t="str">
        <f>'10. Validacion'!B31</f>
        <v>% Energía Limpia</v>
      </c>
      <c r="C17" s="89">
        <f>'10. Validacion'!C31</f>
        <v>0.22439673066943447</v>
      </c>
    </row>
    <row r="18" spans="1:3" x14ac:dyDescent="0.2">
      <c r="A18">
        <v>15</v>
      </c>
      <c r="B18" t="str">
        <f>'10. Validacion'!B37</f>
        <v>Payback (años)</v>
      </c>
      <c r="C18" s="157">
        <f>'10. Validacion'!C37</f>
        <v>1.0917556923396945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9568-E734-4C4E-94E7-A8830F2B0FF6}">
  <dimension ref="A3:C18"/>
  <sheetViews>
    <sheetView showGridLines="0" tabSelected="1" workbookViewId="0">
      <selection activeCell="C14" sqref="C14"/>
    </sheetView>
  </sheetViews>
  <sheetFormatPr baseColWidth="10" defaultRowHeight="15" x14ac:dyDescent="0.2"/>
  <cols>
    <col min="1" max="1" width="4.6640625" customWidth="1"/>
    <col min="2" max="2" width="45" customWidth="1"/>
    <col min="3" max="3" width="22" customWidth="1"/>
  </cols>
  <sheetData>
    <row r="3" spans="1:3" x14ac:dyDescent="0.2">
      <c r="A3" s="145" t="s">
        <v>452</v>
      </c>
      <c r="B3" s="145" t="s">
        <v>401</v>
      </c>
      <c r="C3" s="147" t="s">
        <v>403</v>
      </c>
    </row>
    <row r="4" spans="1:3" x14ac:dyDescent="0.2">
      <c r="A4">
        <v>1</v>
      </c>
      <c r="B4" s="3" t="str">
        <f>'10. Validacion'!B6</f>
        <v>Consumo total (kWh)</v>
      </c>
      <c r="C4" s="92">
        <f>'10. Validacion'!D6</f>
        <v>2060135</v>
      </c>
    </row>
    <row r="5" spans="1:3" x14ac:dyDescent="0.2">
      <c r="A5">
        <v>2</v>
      </c>
      <c r="B5" s="3" t="str">
        <f>'10. Validacion'!B7</f>
        <v>Costo total pre-IVA</v>
      </c>
      <c r="C5" s="139">
        <f>'10. Validacion'!D7</f>
        <v>4183310.13</v>
      </c>
    </row>
    <row r="6" spans="1:3" x14ac:dyDescent="0.2">
      <c r="A6">
        <v>3</v>
      </c>
      <c r="B6" s="3" t="str">
        <f>'10. Validacion'!B8</f>
        <v>Costo unitario promedio ($/kWh)</v>
      </c>
      <c r="C6" s="164">
        <f>'10. Validacion'!D8</f>
        <v>2.0305999995145947</v>
      </c>
    </row>
    <row r="7" spans="1:3" x14ac:dyDescent="0.2">
      <c r="A7">
        <v>4</v>
      </c>
      <c r="B7" s="3" t="str">
        <f>'10. Validacion'!B11</f>
        <v>Ahorro Electricidad MES</v>
      </c>
      <c r="C7" s="139">
        <f>'10. Validacion'!D11</f>
        <v>3137482.5974999997</v>
      </c>
    </row>
    <row r="8" spans="1:3" x14ac:dyDescent="0.2">
      <c r="A8">
        <v>5</v>
      </c>
      <c r="B8" s="3" t="s">
        <v>389</v>
      </c>
      <c r="C8" s="139">
        <f>'10. Validacion'!D16</f>
        <v>281892.72829770338</v>
      </c>
    </row>
    <row r="9" spans="1:3" x14ac:dyDescent="0.2">
      <c r="A9">
        <v>6</v>
      </c>
      <c r="B9" s="163" t="s">
        <v>453</v>
      </c>
      <c r="C9" s="139">
        <f>'10. Validacion'!D17</f>
        <v>3419375.3257977031</v>
      </c>
    </row>
    <row r="10" spans="1:3" x14ac:dyDescent="0.2">
      <c r="A10">
        <v>7</v>
      </c>
      <c r="B10" s="3" t="str">
        <f>'10. Validacion'!B20</f>
        <v>Costo Gas Cogen MES</v>
      </c>
      <c r="C10" s="139">
        <f>'10. Validacion'!D20</f>
        <v>958435.27621219144</v>
      </c>
    </row>
    <row r="11" spans="1:3" x14ac:dyDescent="0.2">
      <c r="A11">
        <v>8</v>
      </c>
      <c r="B11" s="3" t="str">
        <f>'10. Validacion'!B21</f>
        <v>O&amp;M MES</v>
      </c>
      <c r="C11" s="139">
        <f>'10. Validacion'!D21</f>
        <v>463530.375</v>
      </c>
    </row>
    <row r="12" spans="1:3" x14ac:dyDescent="0.2">
      <c r="A12">
        <v>9</v>
      </c>
      <c r="B12" s="163" t="s">
        <v>454</v>
      </c>
      <c r="C12" s="139">
        <f>'10. Validacion'!D22</f>
        <v>1421965.6512121914</v>
      </c>
    </row>
    <row r="13" spans="1:3" x14ac:dyDescent="0.2">
      <c r="A13">
        <v>10</v>
      </c>
      <c r="B13" s="163" t="s">
        <v>455</v>
      </c>
      <c r="C13" s="139">
        <f>'10. Validacion'!D25</f>
        <v>1997409.6745855117</v>
      </c>
    </row>
    <row r="14" spans="1:3" x14ac:dyDescent="0.2">
      <c r="A14">
        <v>11</v>
      </c>
      <c r="B14" t="str">
        <f>'10. Validacion'!B29</f>
        <v>Capacidad nominal kW</v>
      </c>
      <c r="C14" s="97">
        <f>'10. Validacion'!D29</f>
        <v>2862</v>
      </c>
    </row>
    <row r="15" spans="1:3" x14ac:dyDescent="0.2">
      <c r="A15">
        <v>12</v>
      </c>
      <c r="B15" t="str">
        <f>'10. Validacion'!B34</f>
        <v>Inversión MXN</v>
      </c>
      <c r="C15" s="139">
        <f>'10. Validacion'!D34</f>
        <v>70119000</v>
      </c>
    </row>
    <row r="16" spans="1:3" x14ac:dyDescent="0.2">
      <c r="A16">
        <v>13</v>
      </c>
      <c r="B16" t="str">
        <f>'10. Validacion'!B30</f>
        <v>CELs anuales (MWh)</v>
      </c>
      <c r="C16" s="156">
        <f>'10. Validacion'!D30</f>
        <v>5547.4507048521054</v>
      </c>
    </row>
    <row r="17" spans="1:3" x14ac:dyDescent="0.2">
      <c r="A17">
        <v>14</v>
      </c>
      <c r="B17" t="str">
        <f>'10. Validacion'!B31</f>
        <v>% Energía Limpia</v>
      </c>
      <c r="C17" s="123">
        <f>'10. Validacion'!D31</f>
        <v>0.2243967306694345</v>
      </c>
    </row>
    <row r="18" spans="1:3" x14ac:dyDescent="0.2">
      <c r="A18">
        <v>15</v>
      </c>
      <c r="B18" t="str">
        <f>'10. Validacion'!B37</f>
        <v>Payback (años)</v>
      </c>
      <c r="C18" s="158">
        <f>'10. Validacion'!D37</f>
        <v>2.0477897208787605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1. Inputs</vt:lpstr>
      <vt:lpstr>2. Factura CFE sep24</vt:lpstr>
      <vt:lpstr>3. Factura PPA sep24</vt:lpstr>
      <vt:lpstr>4. Factura Gas sep24</vt:lpstr>
      <vt:lpstr>5. Parametros cliente</vt:lpstr>
      <vt:lpstr>6. Dashboard Contab CFE</vt:lpstr>
      <vt:lpstr>7. Dashboard Contab PPA</vt:lpstr>
      <vt:lpstr>8. Dashboard Cogen CFE</vt:lpstr>
      <vt:lpstr>9. Dashboard Cogen PPA</vt:lpstr>
      <vt:lpstr>10. Validacion</vt:lpstr>
      <vt:lpstr>11. KPI's control CFE</vt:lpstr>
      <vt:lpstr>12. KPI's control PPA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Manuel de la Torre</cp:lastModifiedBy>
  <cp:revision>0</cp:revision>
  <dcterms:created xsi:type="dcterms:W3CDTF">2026-05-15T05:15:02Z</dcterms:created>
  <dcterms:modified xsi:type="dcterms:W3CDTF">2026-05-20T16:55:25Z</dcterms:modified>
  <dc:language>en-US</dc:language>
</cp:coreProperties>
</file>